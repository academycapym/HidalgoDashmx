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fonicacorp.sharepoint.com/sites/MetroForaneo.TMHMR-ESPECIALISTA/Shared Documents/RETAIL/"/>
    </mc:Choice>
  </mc:AlternateContent>
  <xr:revisionPtr revIDLastSave="0" documentId="8_{4D32627D-C72E-4646-8826-0B328BBB6E79}" xr6:coauthVersionLast="47" xr6:coauthVersionMax="47" xr10:uidLastSave="{00000000-0000-0000-0000-000000000000}"/>
  <bookViews>
    <workbookView xWindow="-110" yWindow="-110" windowWidth="19420" windowHeight="10300" firstSheet="1" activeTab="6" xr2:uid="{72C3E65B-3544-48AA-BD56-BDC48A84F49C}"/>
  </bookViews>
  <sheets>
    <sheet name="Res Semanal" sheetId="8" r:id="rId1"/>
    <sheet name="Asistencia" sheetId="9" r:id="rId2"/>
    <sheet name="Cuota" sheetId="4" r:id="rId3"/>
    <sheet name="Altas" sheetId="10" r:id="rId4"/>
    <sheet name="FieldWy" sheetId="13" r:id="rId5"/>
    <sheet name="Resumen dia" sheetId="11" r:id="rId6"/>
    <sheet name="Seg Diario" sheetId="6" r:id="rId7"/>
    <sheet name="Palancas" sheetId="12" r:id="rId8"/>
    <sheet name="Ruta Lider" sheetId="5" state="hidden" r:id="rId9"/>
    <sheet name="Hoja1" sheetId="3" state="hidden" r:id="rId10"/>
  </sheets>
  <definedNames>
    <definedName name="_xlnm._FilterDatabase" localSheetId="1" hidden="1">Asistencia!$A$3:$BR$109</definedName>
    <definedName name="_xlnm._FilterDatabase" localSheetId="2" hidden="1">Cuota!$A$6:$DU$112</definedName>
    <definedName name="_xlnm._FilterDatabase" localSheetId="4" hidden="1">FieldWy!$A$1:$AE$72</definedName>
    <definedName name="_xlnm._FilterDatabase" localSheetId="6" hidden="1">'Seg Diario'!$A$5:$AZ$111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2" l="1"/>
  <c r="M5" i="12"/>
  <c r="M3" i="12"/>
  <c r="I18" i="12"/>
  <c r="P18" i="12"/>
  <c r="O16" i="12"/>
  <c r="P16" i="12"/>
  <c r="L16" i="12"/>
  <c r="I16" i="12"/>
  <c r="F19" i="12"/>
  <c r="O13" i="12"/>
  <c r="P14" i="12"/>
  <c r="P15" i="12"/>
  <c r="P17" i="12"/>
  <c r="L13" i="12"/>
  <c r="P13" i="12"/>
  <c r="I13" i="12"/>
  <c r="P12" i="12"/>
  <c r="I12" i="12"/>
  <c r="L11" i="12"/>
  <c r="I11" i="12"/>
  <c r="D16" i="12"/>
  <c r="F13" i="12"/>
  <c r="F14" i="12"/>
  <c r="F15" i="12"/>
  <c r="F18" i="12"/>
  <c r="F11" i="12"/>
  <c r="D12" i="12"/>
  <c r="F12" i="12"/>
  <c r="E19" i="12"/>
  <c r="C4" i="12"/>
  <c r="F4" i="12"/>
  <c r="C5" i="12"/>
  <c r="C6" i="12"/>
  <c r="F6" i="12"/>
  <c r="C3" i="12"/>
  <c r="C19" i="12"/>
  <c r="J4" i="12"/>
  <c r="L4" i="12"/>
  <c r="J5" i="12"/>
  <c r="K5" i="12"/>
  <c r="J6" i="12"/>
  <c r="K6" i="12"/>
  <c r="J7" i="12"/>
  <c r="G4" i="12"/>
  <c r="G5" i="12"/>
  <c r="G6" i="12"/>
  <c r="M6" i="12"/>
  <c r="G3" i="12"/>
  <c r="F5" i="12"/>
  <c r="D7" i="12"/>
  <c r="G7" i="12"/>
  <c r="M7" i="12"/>
  <c r="E7" i="12"/>
  <c r="J3" i="12"/>
  <c r="L3" i="12"/>
  <c r="L6" i="12"/>
  <c r="K4" i="12"/>
  <c r="F16" i="12"/>
  <c r="D19" i="12"/>
  <c r="K7" i="12"/>
  <c r="C7" i="12"/>
  <c r="F7" i="12"/>
  <c r="F3" i="12"/>
  <c r="K3" i="12"/>
  <c r="D8" i="12"/>
  <c r="L5" i="12"/>
  <c r="L7" i="12"/>
  <c r="H3" i="12"/>
  <c r="AR111" i="6"/>
  <c r="AR110" i="6"/>
  <c r="AR109" i="6"/>
  <c r="AR108" i="6"/>
  <c r="AR107" i="6"/>
  <c r="AR106" i="6"/>
  <c r="AR105" i="6"/>
  <c r="AR104" i="6"/>
  <c r="AR103" i="6"/>
  <c r="AR102" i="6"/>
  <c r="AR101" i="6"/>
  <c r="AR100" i="6"/>
  <c r="AR99" i="6"/>
  <c r="AR98" i="6"/>
  <c r="AR97" i="6"/>
  <c r="AR96" i="6"/>
  <c r="AR95" i="6"/>
  <c r="AR94" i="6"/>
  <c r="AR93" i="6"/>
  <c r="AR92" i="6"/>
  <c r="AR91" i="6"/>
  <c r="AR90" i="6"/>
  <c r="AR89" i="6"/>
  <c r="AR88" i="6"/>
  <c r="AR87" i="6"/>
  <c r="AR86" i="6"/>
  <c r="AR85" i="6"/>
  <c r="AR84" i="6"/>
  <c r="AR83" i="6"/>
  <c r="AR82" i="6"/>
  <c r="AR81" i="6"/>
  <c r="AR80" i="6"/>
  <c r="AR79" i="6"/>
  <c r="AR78" i="6"/>
  <c r="AR77" i="6"/>
  <c r="AR76" i="6"/>
  <c r="AR75" i="6"/>
  <c r="AR74" i="6"/>
  <c r="AR73" i="6"/>
  <c r="AR72" i="6"/>
  <c r="AR71" i="6"/>
  <c r="AR70" i="6"/>
  <c r="AR69" i="6"/>
  <c r="AR68" i="6"/>
  <c r="AR67" i="6"/>
  <c r="AR66" i="6"/>
  <c r="AR65" i="6"/>
  <c r="AR64" i="6"/>
  <c r="AR63" i="6"/>
  <c r="AR62" i="6"/>
  <c r="AR61" i="6"/>
  <c r="AR60" i="6"/>
  <c r="AR59" i="6"/>
  <c r="AR58" i="6"/>
  <c r="AR57" i="6"/>
  <c r="AR56" i="6"/>
  <c r="AR55" i="6"/>
  <c r="AR54" i="6"/>
  <c r="AR53" i="6"/>
  <c r="AR52" i="6"/>
  <c r="AR51" i="6"/>
  <c r="AR50" i="6"/>
  <c r="AR49" i="6"/>
  <c r="AR48" i="6"/>
  <c r="AR47" i="6"/>
  <c r="AR46" i="6"/>
  <c r="AR45" i="6"/>
  <c r="AR44" i="6"/>
  <c r="AR43" i="6"/>
  <c r="AR42" i="6"/>
  <c r="AR41" i="6"/>
  <c r="AR40" i="6"/>
  <c r="AR39" i="6"/>
  <c r="AR38" i="6"/>
  <c r="AR37" i="6"/>
  <c r="AR36" i="6"/>
  <c r="AR35" i="6"/>
  <c r="AR34" i="6"/>
  <c r="AR33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N111" i="6"/>
  <c r="AT111" i="6"/>
  <c r="AN110" i="6"/>
  <c r="AT110" i="6"/>
  <c r="AN109" i="6"/>
  <c r="AN108" i="6"/>
  <c r="AT108" i="6"/>
  <c r="AN107" i="6"/>
  <c r="AT107" i="6"/>
  <c r="AN106" i="6"/>
  <c r="AT106" i="6"/>
  <c r="AN105" i="6"/>
  <c r="AT105" i="6"/>
  <c r="AN104" i="6"/>
  <c r="AT104" i="6"/>
  <c r="AN103" i="6"/>
  <c r="AT103" i="6"/>
  <c r="AN102" i="6"/>
  <c r="AT102" i="6"/>
  <c r="AN101" i="6"/>
  <c r="AN100" i="6"/>
  <c r="AN99" i="6"/>
  <c r="AT99" i="6"/>
  <c r="AN98" i="6"/>
  <c r="AT98" i="6"/>
  <c r="AN97" i="6"/>
  <c r="AT97" i="6"/>
  <c r="AN96" i="6"/>
  <c r="AT96" i="6"/>
  <c r="AN95" i="6"/>
  <c r="AT95" i="6"/>
  <c r="AN94" i="6"/>
  <c r="AT94" i="6"/>
  <c r="AN93" i="6"/>
  <c r="AN92" i="6"/>
  <c r="AN91" i="6"/>
  <c r="AT91" i="6"/>
  <c r="AN90" i="6"/>
  <c r="AT90" i="6"/>
  <c r="AN89" i="6"/>
  <c r="AT89" i="6"/>
  <c r="AN88" i="6"/>
  <c r="AT88" i="6"/>
  <c r="AN87" i="6"/>
  <c r="AT87" i="6"/>
  <c r="AN86" i="6"/>
  <c r="AT86" i="6"/>
  <c r="AN85" i="6"/>
  <c r="AN84" i="6"/>
  <c r="AN83" i="6"/>
  <c r="AT83" i="6"/>
  <c r="AN82" i="6"/>
  <c r="AT82" i="6"/>
  <c r="AN81" i="6"/>
  <c r="AT81" i="6"/>
  <c r="AN80" i="6"/>
  <c r="AT80" i="6"/>
  <c r="AN79" i="6"/>
  <c r="AN78" i="6"/>
  <c r="AT78" i="6"/>
  <c r="AN77" i="6"/>
  <c r="AN76" i="6"/>
  <c r="AN75" i="6"/>
  <c r="AT75" i="6"/>
  <c r="AN74" i="6"/>
  <c r="AT74" i="6"/>
  <c r="AN73" i="6"/>
  <c r="AT73" i="6"/>
  <c r="AN72" i="6"/>
  <c r="AT72" i="6"/>
  <c r="AN71" i="6"/>
  <c r="AN70" i="6"/>
  <c r="AT70" i="6"/>
  <c r="AN69" i="6"/>
  <c r="AN68" i="6"/>
  <c r="AN67" i="6"/>
  <c r="AT67" i="6"/>
  <c r="AN66" i="6"/>
  <c r="AT66" i="6"/>
  <c r="AN65" i="6"/>
  <c r="AT65" i="6"/>
  <c r="AN64" i="6"/>
  <c r="AT64" i="6"/>
  <c r="AN63" i="6"/>
  <c r="AN62" i="6"/>
  <c r="AT62" i="6"/>
  <c r="AN61" i="6"/>
  <c r="AN60" i="6"/>
  <c r="AN59" i="6"/>
  <c r="AT59" i="6"/>
  <c r="AN58" i="6"/>
  <c r="AT58" i="6"/>
  <c r="AN57" i="6"/>
  <c r="AN56" i="6"/>
  <c r="AT56" i="6"/>
  <c r="AN55" i="6"/>
  <c r="AN54" i="6"/>
  <c r="AT54" i="6"/>
  <c r="AN53" i="6"/>
  <c r="AN52" i="6"/>
  <c r="AN51" i="6"/>
  <c r="AT51" i="6"/>
  <c r="AN50" i="6"/>
  <c r="AT50" i="6"/>
  <c r="AN49" i="6"/>
  <c r="AN48" i="6"/>
  <c r="AT48" i="6"/>
  <c r="AN47" i="6"/>
  <c r="AN46" i="6"/>
  <c r="AT46" i="6"/>
  <c r="AN45" i="6"/>
  <c r="AN44" i="6"/>
  <c r="AN43" i="6"/>
  <c r="AT43" i="6"/>
  <c r="AN42" i="6"/>
  <c r="AT42" i="6"/>
  <c r="AN41" i="6"/>
  <c r="AT41" i="6"/>
  <c r="AN40" i="6"/>
  <c r="AT40" i="6"/>
  <c r="AN39" i="6"/>
  <c r="AN38" i="6"/>
  <c r="AT38" i="6"/>
  <c r="AN37" i="6"/>
  <c r="AN36" i="6"/>
  <c r="AN35" i="6"/>
  <c r="AT35" i="6"/>
  <c r="AN34" i="6"/>
  <c r="AT34" i="6"/>
  <c r="AN33" i="6"/>
  <c r="AT33" i="6"/>
  <c r="AN32" i="6"/>
  <c r="AT32" i="6"/>
  <c r="AN31" i="6"/>
  <c r="AN30" i="6"/>
  <c r="AT30" i="6"/>
  <c r="AN29" i="6"/>
  <c r="AN28" i="6"/>
  <c r="AN27" i="6"/>
  <c r="AT27" i="6"/>
  <c r="AN26" i="6"/>
  <c r="AT26" i="6"/>
  <c r="AN25" i="6"/>
  <c r="AT25" i="6"/>
  <c r="AN24" i="6"/>
  <c r="AT24" i="6"/>
  <c r="AN23" i="6"/>
  <c r="AN22" i="6"/>
  <c r="AT22" i="6"/>
  <c r="AN21" i="6"/>
  <c r="AN20" i="6"/>
  <c r="AN19" i="6"/>
  <c r="AT19" i="6"/>
  <c r="AN18" i="6"/>
  <c r="AN17" i="6"/>
  <c r="AN16" i="6"/>
  <c r="AT16" i="6"/>
  <c r="AN15" i="6"/>
  <c r="AN14" i="6"/>
  <c r="AT14" i="6"/>
  <c r="AN13" i="6"/>
  <c r="AN12" i="6"/>
  <c r="AN11" i="6"/>
  <c r="AT11" i="6"/>
  <c r="AN10" i="6"/>
  <c r="AN9" i="6"/>
  <c r="AT9" i="6"/>
  <c r="AN8" i="6"/>
  <c r="AT8" i="6"/>
  <c r="AN7" i="6"/>
  <c r="AN6" i="6"/>
  <c r="AT6" i="6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D2" i="9"/>
  <c r="AT17" i="6"/>
  <c r="AT49" i="6"/>
  <c r="AT57" i="6"/>
  <c r="AT71" i="6"/>
  <c r="AT79" i="6"/>
  <c r="AT10" i="6"/>
  <c r="AT18" i="6"/>
  <c r="AT7" i="6"/>
  <c r="AT15" i="6"/>
  <c r="AT23" i="6"/>
  <c r="AT31" i="6"/>
  <c r="AT39" i="6"/>
  <c r="AT47" i="6"/>
  <c r="AT55" i="6"/>
  <c r="AT63" i="6"/>
  <c r="AT13" i="6"/>
  <c r="AT21" i="6"/>
  <c r="AT29" i="6"/>
  <c r="AT37" i="6"/>
  <c r="AT45" i="6"/>
  <c r="AT53" i="6"/>
  <c r="AT61" i="6"/>
  <c r="AT69" i="6"/>
  <c r="AT77" i="6"/>
  <c r="AT85" i="6"/>
  <c r="AT93" i="6"/>
  <c r="AT101" i="6"/>
  <c r="AT109" i="6"/>
  <c r="AT12" i="6"/>
  <c r="AT20" i="6"/>
  <c r="AT28" i="6"/>
  <c r="AT36" i="6"/>
  <c r="AT44" i="6"/>
  <c r="AT52" i="6"/>
  <c r="AT60" i="6"/>
  <c r="AT68" i="6"/>
  <c r="AT76" i="6"/>
  <c r="AT84" i="6"/>
  <c r="AT92" i="6"/>
  <c r="AT100" i="6"/>
  <c r="AZ4" i="6"/>
  <c r="AY4" i="6"/>
  <c r="AX4" i="6"/>
  <c r="AW4" i="6"/>
  <c r="DT29" i="4"/>
  <c r="DT96" i="4"/>
  <c r="DT99" i="4"/>
  <c r="DT101" i="4"/>
  <c r="DT9" i="4"/>
  <c r="DT32" i="4"/>
  <c r="DT49" i="4"/>
  <c r="DT54" i="4"/>
  <c r="V53" i="6"/>
  <c r="DT89" i="4"/>
  <c r="V88" i="6"/>
  <c r="AI88" i="6"/>
  <c r="DT21" i="4"/>
  <c r="DT38" i="4"/>
  <c r="DT41" i="4"/>
  <c r="DT84" i="4"/>
  <c r="V83" i="6"/>
  <c r="AI83" i="6"/>
  <c r="DT85" i="4"/>
  <c r="V84" i="6"/>
  <c r="AI84" i="6"/>
  <c r="DT110" i="4"/>
  <c r="V109" i="6"/>
  <c r="AI109" i="6"/>
  <c r="DT50" i="4"/>
  <c r="V49" i="6"/>
  <c r="AI49" i="6"/>
  <c r="DT73" i="4"/>
  <c r="V72" i="6"/>
  <c r="DT91" i="4"/>
  <c r="DT94" i="4"/>
  <c r="V93" i="6"/>
  <c r="AI93" i="6"/>
  <c r="DT102" i="4"/>
  <c r="V101" i="6"/>
  <c r="AI101" i="6"/>
  <c r="DT57" i="4"/>
  <c r="DT62" i="4"/>
  <c r="DT65" i="4"/>
  <c r="DT82" i="4"/>
  <c r="DT71" i="4"/>
  <c r="V70" i="6"/>
  <c r="DT74" i="4"/>
  <c r="V73" i="6"/>
  <c r="AI73" i="6"/>
  <c r="DT75" i="4"/>
  <c r="V74" i="6"/>
  <c r="AI74" i="6"/>
  <c r="DT79" i="4"/>
  <c r="V78" i="6"/>
  <c r="DT7" i="4"/>
  <c r="DT8" i="4"/>
  <c r="DT15" i="4"/>
  <c r="DT17" i="4"/>
  <c r="DT19" i="4"/>
  <c r="DT20" i="4"/>
  <c r="DT24" i="4"/>
  <c r="DT25" i="4"/>
  <c r="DT26" i="4"/>
  <c r="DT27" i="4"/>
  <c r="DT28" i="4"/>
  <c r="DT30" i="4"/>
  <c r="DT43" i="4"/>
  <c r="DT47" i="4"/>
  <c r="DT48" i="4"/>
  <c r="DT52" i="4"/>
  <c r="DT53" i="4"/>
  <c r="DT55" i="4"/>
  <c r="DT63" i="4"/>
  <c r="DT64" i="4"/>
  <c r="DT66" i="4"/>
  <c r="DT67" i="4"/>
  <c r="DT68" i="4"/>
  <c r="DT77" i="4"/>
  <c r="DT80" i="4"/>
  <c r="DT81" i="4"/>
  <c r="DT86" i="4"/>
  <c r="DT90" i="4"/>
  <c r="DT92" i="4"/>
  <c r="DT95" i="4"/>
  <c r="DT97" i="4"/>
  <c r="DT98" i="4"/>
  <c r="DT103" i="4"/>
  <c r="DT106" i="4"/>
  <c r="DT111" i="4"/>
  <c r="DT10" i="4"/>
  <c r="DT11" i="4"/>
  <c r="DT12" i="4"/>
  <c r="DT13" i="4"/>
  <c r="DT14" i="4"/>
  <c r="DT16" i="4"/>
  <c r="DT18" i="4"/>
  <c r="DT22" i="4"/>
  <c r="DT23" i="4"/>
  <c r="DT31" i="4"/>
  <c r="DT33" i="4"/>
  <c r="DT34" i="4"/>
  <c r="DT35" i="4"/>
  <c r="DT36" i="4"/>
  <c r="DT37" i="4"/>
  <c r="DT39" i="4"/>
  <c r="DT40" i="4"/>
  <c r="DT42" i="4"/>
  <c r="DT44" i="4"/>
  <c r="DT45" i="4"/>
  <c r="DT46" i="4"/>
  <c r="DT51" i="4"/>
  <c r="DT56" i="4"/>
  <c r="V55" i="6"/>
  <c r="AI55" i="6"/>
  <c r="DT58" i="4"/>
  <c r="V57" i="6"/>
  <c r="AI57" i="6"/>
  <c r="DT59" i="4"/>
  <c r="DT60" i="4"/>
  <c r="V59" i="6"/>
  <c r="DT61" i="4"/>
  <c r="V60" i="6"/>
  <c r="AI60" i="6"/>
  <c r="DT69" i="4"/>
  <c r="V68" i="6"/>
  <c r="AI68" i="6"/>
  <c r="DT70" i="4"/>
  <c r="V69" i="6"/>
  <c r="AI69" i="6"/>
  <c r="DT72" i="4"/>
  <c r="DT76" i="4"/>
  <c r="V75" i="6"/>
  <c r="AI75" i="6"/>
  <c r="DT78" i="4"/>
  <c r="V77" i="6"/>
  <c r="AI77" i="6"/>
  <c r="DT83" i="4"/>
  <c r="V82" i="6"/>
  <c r="AI82" i="6"/>
  <c r="DT87" i="4"/>
  <c r="V86" i="6"/>
  <c r="DT88" i="4"/>
  <c r="V87" i="6"/>
  <c r="AI87" i="6"/>
  <c r="DT93" i="4"/>
  <c r="V92" i="6"/>
  <c r="AI92" i="6"/>
  <c r="DT100" i="4"/>
  <c r="V99" i="6"/>
  <c r="AI99" i="6"/>
  <c r="DT104" i="4"/>
  <c r="V103" i="6"/>
  <c r="AI103" i="6"/>
  <c r="DT105" i="4"/>
  <c r="V104" i="6"/>
  <c r="AI104" i="6"/>
  <c r="DT107" i="4"/>
  <c r="V106" i="6"/>
  <c r="AI106" i="6"/>
  <c r="DT108" i="4"/>
  <c r="V107" i="6"/>
  <c r="AI107" i="6"/>
  <c r="DT109" i="4"/>
  <c r="V108" i="6"/>
  <c r="AI108" i="6"/>
  <c r="DT112" i="4"/>
  <c r="V111" i="6"/>
  <c r="AI111" i="6"/>
  <c r="DS29" i="4"/>
  <c r="DS96" i="4"/>
  <c r="DS99" i="4"/>
  <c r="DS101" i="4"/>
  <c r="DS9" i="4"/>
  <c r="DS32" i="4"/>
  <c r="DS49" i="4"/>
  <c r="DS54" i="4"/>
  <c r="R53" i="6"/>
  <c r="AF53" i="6"/>
  <c r="DS89" i="4"/>
  <c r="R88" i="6"/>
  <c r="DS21" i="4"/>
  <c r="DS38" i="4"/>
  <c r="DS41" i="4"/>
  <c r="DS84" i="4"/>
  <c r="R83" i="6"/>
  <c r="DS85" i="4"/>
  <c r="R84" i="6"/>
  <c r="DS110" i="4"/>
  <c r="R109" i="6"/>
  <c r="AF109" i="6"/>
  <c r="DS50" i="4"/>
  <c r="R49" i="6"/>
  <c r="DS73" i="4"/>
  <c r="R72" i="6"/>
  <c r="DS91" i="4"/>
  <c r="R90" i="6"/>
  <c r="AF90" i="6"/>
  <c r="DS94" i="4"/>
  <c r="R93" i="6"/>
  <c r="AF93" i="6"/>
  <c r="DS102" i="4"/>
  <c r="R101" i="6"/>
  <c r="DS57" i="4"/>
  <c r="DS62" i="4"/>
  <c r="DS65" i="4"/>
  <c r="DS82" i="4"/>
  <c r="DS71" i="4"/>
  <c r="R70" i="6"/>
  <c r="AF70" i="6"/>
  <c r="DS74" i="4"/>
  <c r="R73" i="6"/>
  <c r="DS75" i="4"/>
  <c r="R74" i="6"/>
  <c r="DS79" i="4"/>
  <c r="R78" i="6"/>
  <c r="AF78" i="6"/>
  <c r="DS7" i="4"/>
  <c r="DS8" i="4"/>
  <c r="DS15" i="4"/>
  <c r="DS17" i="4"/>
  <c r="DS19" i="4"/>
  <c r="DS20" i="4"/>
  <c r="DS24" i="4"/>
  <c r="DS25" i="4"/>
  <c r="DS26" i="4"/>
  <c r="DS27" i="4"/>
  <c r="DS28" i="4"/>
  <c r="DS30" i="4"/>
  <c r="DS43" i="4"/>
  <c r="DS47" i="4"/>
  <c r="DS48" i="4"/>
  <c r="DS52" i="4"/>
  <c r="DS53" i="4"/>
  <c r="DS55" i="4"/>
  <c r="DS63" i="4"/>
  <c r="DS64" i="4"/>
  <c r="DS66" i="4"/>
  <c r="DS67" i="4"/>
  <c r="DS68" i="4"/>
  <c r="DS77" i="4"/>
  <c r="DS80" i="4"/>
  <c r="DS81" i="4"/>
  <c r="DS86" i="4"/>
  <c r="DS90" i="4"/>
  <c r="DS92" i="4"/>
  <c r="DS95" i="4"/>
  <c r="DS97" i="4"/>
  <c r="DS98" i="4"/>
  <c r="DS103" i="4"/>
  <c r="DS106" i="4"/>
  <c r="DS111" i="4"/>
  <c r="DS10" i="4"/>
  <c r="DS11" i="4"/>
  <c r="DS12" i="4"/>
  <c r="DS13" i="4"/>
  <c r="DS14" i="4"/>
  <c r="DS16" i="4"/>
  <c r="DS18" i="4"/>
  <c r="DS22" i="4"/>
  <c r="DS23" i="4"/>
  <c r="DS31" i="4"/>
  <c r="DS33" i="4"/>
  <c r="DS34" i="4"/>
  <c r="DS35" i="4"/>
  <c r="DS36" i="4"/>
  <c r="DS37" i="4"/>
  <c r="DS39" i="4"/>
  <c r="DS40" i="4"/>
  <c r="DS42" i="4"/>
  <c r="DS44" i="4"/>
  <c r="DS45" i="4"/>
  <c r="DS46" i="4"/>
  <c r="DS51" i="4"/>
  <c r="R50" i="6"/>
  <c r="DS56" i="4"/>
  <c r="R55" i="6"/>
  <c r="AF55" i="6"/>
  <c r="DS58" i="4"/>
  <c r="R57" i="6"/>
  <c r="DS59" i="4"/>
  <c r="R58" i="6"/>
  <c r="DS60" i="4"/>
  <c r="R59" i="6"/>
  <c r="AF59" i="6"/>
  <c r="DS61" i="4"/>
  <c r="R60" i="6"/>
  <c r="AF60" i="6"/>
  <c r="DS69" i="4"/>
  <c r="R68" i="6"/>
  <c r="AF68" i="6"/>
  <c r="DS70" i="4"/>
  <c r="R69" i="6"/>
  <c r="AF69" i="6"/>
  <c r="DS72" i="4"/>
  <c r="R71" i="6"/>
  <c r="AF71" i="6"/>
  <c r="DS76" i="4"/>
  <c r="R75" i="6"/>
  <c r="DS78" i="4"/>
  <c r="R77" i="6"/>
  <c r="AF77" i="6"/>
  <c r="DS83" i="4"/>
  <c r="R82" i="6"/>
  <c r="DS87" i="4"/>
  <c r="R86" i="6"/>
  <c r="AF86" i="6"/>
  <c r="DS88" i="4"/>
  <c r="R87" i="6"/>
  <c r="AF87" i="6"/>
  <c r="DS93" i="4"/>
  <c r="R92" i="6"/>
  <c r="DS100" i="4"/>
  <c r="R99" i="6"/>
  <c r="AF99" i="6"/>
  <c r="DS104" i="4"/>
  <c r="R103" i="6"/>
  <c r="AF103" i="6"/>
  <c r="DS105" i="4"/>
  <c r="R104" i="6"/>
  <c r="DS107" i="4"/>
  <c r="R106" i="6"/>
  <c r="AF106" i="6"/>
  <c r="DS108" i="4"/>
  <c r="R107" i="6"/>
  <c r="AF107" i="6"/>
  <c r="DS109" i="4"/>
  <c r="R108" i="6"/>
  <c r="AF108" i="6"/>
  <c r="DS112" i="4"/>
  <c r="R111" i="6"/>
  <c r="AF111" i="6"/>
  <c r="DR29" i="4"/>
  <c r="DR96" i="4"/>
  <c r="DR99" i="4"/>
  <c r="DR101" i="4"/>
  <c r="DR9" i="4"/>
  <c r="DR32" i="4"/>
  <c r="DR49" i="4"/>
  <c r="DR54" i="4"/>
  <c r="N53" i="6"/>
  <c r="AC53" i="6"/>
  <c r="DR89" i="4"/>
  <c r="DR21" i="4"/>
  <c r="DR38" i="4"/>
  <c r="DR41" i="4"/>
  <c r="DR84" i="4"/>
  <c r="N83" i="6"/>
  <c r="AC83" i="6"/>
  <c r="DR85" i="4"/>
  <c r="N84" i="6"/>
  <c r="AC84" i="6"/>
  <c r="DR110" i="4"/>
  <c r="N109" i="6"/>
  <c r="AC109" i="6"/>
  <c r="DR50" i="4"/>
  <c r="N49" i="6"/>
  <c r="DR73" i="4"/>
  <c r="N72" i="6"/>
  <c r="AC72" i="6"/>
  <c r="DR91" i="4"/>
  <c r="N90" i="6"/>
  <c r="AC90" i="6"/>
  <c r="DR94" i="4"/>
  <c r="N93" i="6"/>
  <c r="AC93" i="6"/>
  <c r="DR102" i="4"/>
  <c r="N101" i="6"/>
  <c r="AC101" i="6"/>
  <c r="DR57" i="4"/>
  <c r="DR62" i="4"/>
  <c r="DR65" i="4"/>
  <c r="DR82" i="4"/>
  <c r="DR71" i="4"/>
  <c r="N70" i="6"/>
  <c r="AC70" i="6"/>
  <c r="DR74" i="4"/>
  <c r="N73" i="6"/>
  <c r="AC73" i="6"/>
  <c r="DR75" i="4"/>
  <c r="N74" i="6"/>
  <c r="AC74" i="6"/>
  <c r="DR79" i="4"/>
  <c r="N78" i="6"/>
  <c r="AC78" i="6"/>
  <c r="DR7" i="4"/>
  <c r="DR8" i="4"/>
  <c r="DR15" i="4"/>
  <c r="DR17" i="4"/>
  <c r="DR19" i="4"/>
  <c r="DR20" i="4"/>
  <c r="DR24" i="4"/>
  <c r="DR25" i="4"/>
  <c r="DR26" i="4"/>
  <c r="DR27" i="4"/>
  <c r="DR28" i="4"/>
  <c r="DR30" i="4"/>
  <c r="DR43" i="4"/>
  <c r="DR47" i="4"/>
  <c r="DR48" i="4"/>
  <c r="DR52" i="4"/>
  <c r="DR53" i="4"/>
  <c r="DR55" i="4"/>
  <c r="DR63" i="4"/>
  <c r="DR64" i="4"/>
  <c r="DR66" i="4"/>
  <c r="DR67" i="4"/>
  <c r="DR68" i="4"/>
  <c r="DR77" i="4"/>
  <c r="DR80" i="4"/>
  <c r="DR81" i="4"/>
  <c r="DR86" i="4"/>
  <c r="DR90" i="4"/>
  <c r="DR92" i="4"/>
  <c r="DR95" i="4"/>
  <c r="DR97" i="4"/>
  <c r="DR98" i="4"/>
  <c r="DR103" i="4"/>
  <c r="DR106" i="4"/>
  <c r="DR111" i="4"/>
  <c r="DR10" i="4"/>
  <c r="DR11" i="4"/>
  <c r="DR12" i="4"/>
  <c r="DR13" i="4"/>
  <c r="DR14" i="4"/>
  <c r="DR16" i="4"/>
  <c r="DR18" i="4"/>
  <c r="DR22" i="4"/>
  <c r="DR23" i="4"/>
  <c r="DR31" i="4"/>
  <c r="DR33" i="4"/>
  <c r="DR34" i="4"/>
  <c r="DR35" i="4"/>
  <c r="DR36" i="4"/>
  <c r="DR37" i="4"/>
  <c r="DR39" i="4"/>
  <c r="DR40" i="4"/>
  <c r="DR42" i="4"/>
  <c r="DR44" i="4"/>
  <c r="DR45" i="4"/>
  <c r="DR46" i="4"/>
  <c r="DR51" i="4"/>
  <c r="N50" i="6"/>
  <c r="AC50" i="6"/>
  <c r="DR56" i="4"/>
  <c r="N55" i="6"/>
  <c r="DR58" i="4"/>
  <c r="N57" i="6"/>
  <c r="DR59" i="4"/>
  <c r="N58" i="6"/>
  <c r="AC58" i="6"/>
  <c r="DR60" i="4"/>
  <c r="N59" i="6"/>
  <c r="AC59" i="6"/>
  <c r="DR61" i="4"/>
  <c r="N60" i="6"/>
  <c r="DR69" i="4"/>
  <c r="N68" i="6"/>
  <c r="AC68" i="6"/>
  <c r="DR70" i="4"/>
  <c r="N69" i="6"/>
  <c r="DR72" i="4"/>
  <c r="N71" i="6"/>
  <c r="AC71" i="6"/>
  <c r="DR76" i="4"/>
  <c r="N75" i="6"/>
  <c r="AC75" i="6"/>
  <c r="DR78" i="4"/>
  <c r="N77" i="6"/>
  <c r="AC77" i="6"/>
  <c r="DR83" i="4"/>
  <c r="N82" i="6"/>
  <c r="AC82" i="6"/>
  <c r="DR87" i="4"/>
  <c r="N86" i="6"/>
  <c r="DR88" i="4"/>
  <c r="N87" i="6"/>
  <c r="DR93" i="4"/>
  <c r="N92" i="6"/>
  <c r="AC92" i="6"/>
  <c r="DR100" i="4"/>
  <c r="N99" i="6"/>
  <c r="AC99" i="6"/>
  <c r="DR104" i="4"/>
  <c r="N103" i="6"/>
  <c r="AC103" i="6"/>
  <c r="DR105" i="4"/>
  <c r="N104" i="6"/>
  <c r="AC104" i="6"/>
  <c r="DR107" i="4"/>
  <c r="N106" i="6"/>
  <c r="AC106" i="6"/>
  <c r="DR108" i="4"/>
  <c r="N107" i="6"/>
  <c r="AC107" i="6"/>
  <c r="DR109" i="4"/>
  <c r="N108" i="6"/>
  <c r="AC108" i="6"/>
  <c r="DR112" i="4"/>
  <c r="N111" i="6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V71" i="6"/>
  <c r="AI71" i="6"/>
  <c r="AS104" i="6"/>
  <c r="AR4" i="6"/>
  <c r="AP4" i="6"/>
  <c r="AN4" i="6"/>
  <c r="AO12" i="6"/>
  <c r="U111" i="6"/>
  <c r="AS111" i="6"/>
  <c r="U110" i="6"/>
  <c r="AH110" i="6"/>
  <c r="U109" i="6"/>
  <c r="AH109" i="6"/>
  <c r="U108" i="6"/>
  <c r="AH108" i="6"/>
  <c r="U107" i="6"/>
  <c r="U106" i="6"/>
  <c r="AH106" i="6"/>
  <c r="U105" i="6"/>
  <c r="AH105" i="6"/>
  <c r="U104" i="6"/>
  <c r="U103" i="6"/>
  <c r="AS103" i="6"/>
  <c r="U102" i="6"/>
  <c r="AS102" i="6"/>
  <c r="U101" i="6"/>
  <c r="AH101" i="6"/>
  <c r="U100" i="6"/>
  <c r="AH100" i="6"/>
  <c r="U99" i="6"/>
  <c r="AS99" i="6"/>
  <c r="U98" i="6"/>
  <c r="U97" i="6"/>
  <c r="AH97" i="6"/>
  <c r="U96" i="6"/>
  <c r="AH96" i="6"/>
  <c r="U95" i="6"/>
  <c r="AS95" i="6"/>
  <c r="U94" i="6"/>
  <c r="AH94" i="6"/>
  <c r="U93" i="6"/>
  <c r="AS93" i="6"/>
  <c r="U92" i="6"/>
  <c r="AH92" i="6"/>
  <c r="U91" i="6"/>
  <c r="AS91" i="6"/>
  <c r="U90" i="6"/>
  <c r="U89" i="6"/>
  <c r="U88" i="6"/>
  <c r="AS88" i="6"/>
  <c r="U87" i="6"/>
  <c r="AS87" i="6"/>
  <c r="U86" i="6"/>
  <c r="AS86" i="6"/>
  <c r="U85" i="6"/>
  <c r="AH85" i="6"/>
  <c r="U84" i="6"/>
  <c r="AS84" i="6"/>
  <c r="U83" i="6"/>
  <c r="AS83" i="6"/>
  <c r="U82" i="6"/>
  <c r="U81" i="6"/>
  <c r="AH81" i="6"/>
  <c r="U80" i="6"/>
  <c r="AH80" i="6"/>
  <c r="U79" i="6"/>
  <c r="AS79" i="6"/>
  <c r="U78" i="6"/>
  <c r="U77" i="6"/>
  <c r="AS77" i="6"/>
  <c r="U76" i="6"/>
  <c r="AH76" i="6"/>
  <c r="U75" i="6"/>
  <c r="AS75" i="6"/>
  <c r="U74" i="6"/>
  <c r="AS74" i="6"/>
  <c r="U73" i="6"/>
  <c r="AS73" i="6"/>
  <c r="U72" i="6"/>
  <c r="AH72" i="6"/>
  <c r="U71" i="6"/>
  <c r="AS71" i="6"/>
  <c r="U70" i="6"/>
  <c r="AH70" i="6"/>
  <c r="U69" i="6"/>
  <c r="AS69" i="6"/>
  <c r="U68" i="6"/>
  <c r="U67" i="6"/>
  <c r="AS67" i="6"/>
  <c r="U66" i="6"/>
  <c r="AS66" i="6"/>
  <c r="U65" i="6"/>
  <c r="AS65" i="6"/>
  <c r="U64" i="6"/>
  <c r="AH64" i="6"/>
  <c r="U63" i="6"/>
  <c r="AS63" i="6"/>
  <c r="U62" i="6"/>
  <c r="U61" i="6"/>
  <c r="AS61" i="6"/>
  <c r="U60" i="6"/>
  <c r="AS60" i="6"/>
  <c r="U59" i="6"/>
  <c r="AS59" i="6"/>
  <c r="U58" i="6"/>
  <c r="AH58" i="6"/>
  <c r="U57" i="6"/>
  <c r="AS57" i="6"/>
  <c r="U56" i="6"/>
  <c r="AS56" i="6"/>
  <c r="U55" i="6"/>
  <c r="AS55" i="6"/>
  <c r="U54" i="6"/>
  <c r="AH54" i="6"/>
  <c r="U53" i="6"/>
  <c r="AS53" i="6"/>
  <c r="U52" i="6"/>
  <c r="AS52" i="6"/>
  <c r="U51" i="6"/>
  <c r="AS51" i="6"/>
  <c r="U50" i="6"/>
  <c r="AS50" i="6"/>
  <c r="U49" i="6"/>
  <c r="AS49" i="6"/>
  <c r="U48" i="6"/>
  <c r="AH48" i="6"/>
  <c r="U47" i="6"/>
  <c r="AS47" i="6"/>
  <c r="U46" i="6"/>
  <c r="U45" i="6"/>
  <c r="AS45" i="6"/>
  <c r="U44" i="6"/>
  <c r="AS44" i="6"/>
  <c r="U43" i="6"/>
  <c r="AH43" i="6"/>
  <c r="U42" i="6"/>
  <c r="AS42" i="6"/>
  <c r="U41" i="6"/>
  <c r="AS41" i="6"/>
  <c r="U40" i="6"/>
  <c r="AS40" i="6"/>
  <c r="U39" i="6"/>
  <c r="AS39" i="6"/>
  <c r="U38" i="6"/>
  <c r="AS38" i="6"/>
  <c r="U37" i="6"/>
  <c r="AS37" i="6"/>
  <c r="U36" i="6"/>
  <c r="U35" i="6"/>
  <c r="AH35" i="6"/>
  <c r="U34" i="6"/>
  <c r="AS34" i="6"/>
  <c r="U33" i="6"/>
  <c r="AS33" i="6"/>
  <c r="U32" i="6"/>
  <c r="AH32" i="6"/>
  <c r="U31" i="6"/>
  <c r="AS31" i="6"/>
  <c r="U30" i="6"/>
  <c r="AS30" i="6"/>
  <c r="U29" i="6"/>
  <c r="AH29" i="6"/>
  <c r="U28" i="6"/>
  <c r="AS28" i="6"/>
  <c r="U27" i="6"/>
  <c r="AS27" i="6"/>
  <c r="U26" i="6"/>
  <c r="AS26" i="6"/>
  <c r="U25" i="6"/>
  <c r="AS25" i="6"/>
  <c r="U24" i="6"/>
  <c r="AH24" i="6"/>
  <c r="U23" i="6"/>
  <c r="AS23" i="6"/>
  <c r="U22" i="6"/>
  <c r="AS22" i="6"/>
  <c r="U21" i="6"/>
  <c r="AS21" i="6"/>
  <c r="U20" i="6"/>
  <c r="U19" i="6"/>
  <c r="AH19" i="6"/>
  <c r="U18" i="6"/>
  <c r="AS18" i="6"/>
  <c r="U17" i="6"/>
  <c r="AS17" i="6"/>
  <c r="U16" i="6"/>
  <c r="AH16" i="6"/>
  <c r="U15" i="6"/>
  <c r="U14" i="6"/>
  <c r="AS14" i="6"/>
  <c r="U13" i="6"/>
  <c r="AS13" i="6"/>
  <c r="U12" i="6"/>
  <c r="AS12" i="6"/>
  <c r="U11" i="6"/>
  <c r="AH11" i="6"/>
  <c r="U10" i="6"/>
  <c r="AS10" i="6"/>
  <c r="U9" i="6"/>
  <c r="AS9" i="6"/>
  <c r="U8" i="6"/>
  <c r="AH8" i="6"/>
  <c r="U7" i="6"/>
  <c r="AS7" i="6"/>
  <c r="Q111" i="6"/>
  <c r="AQ111" i="6"/>
  <c r="Q110" i="6"/>
  <c r="AE110" i="6"/>
  <c r="Q109" i="6"/>
  <c r="AE109" i="6"/>
  <c r="Q108" i="6"/>
  <c r="AE108" i="6"/>
  <c r="Q107" i="6"/>
  <c r="AE107" i="6"/>
  <c r="Q106" i="6"/>
  <c r="AQ106" i="6"/>
  <c r="Q105" i="6"/>
  <c r="AQ105" i="6"/>
  <c r="Q104" i="6"/>
  <c r="AE104" i="6"/>
  <c r="Q103" i="6"/>
  <c r="AQ103" i="6"/>
  <c r="Q102" i="6"/>
  <c r="AE102" i="6"/>
  <c r="Q101" i="6"/>
  <c r="AE101" i="6"/>
  <c r="Q100" i="6"/>
  <c r="AE100" i="6"/>
  <c r="Q99" i="6"/>
  <c r="AE99" i="6"/>
  <c r="Q98" i="6"/>
  <c r="AQ98" i="6"/>
  <c r="Q97" i="6"/>
  <c r="AQ97" i="6"/>
  <c r="Q96" i="6"/>
  <c r="AE96" i="6"/>
  <c r="Q95" i="6"/>
  <c r="Q94" i="6"/>
  <c r="AQ94" i="6"/>
  <c r="Q93" i="6"/>
  <c r="AE93" i="6"/>
  <c r="Q92" i="6"/>
  <c r="Q91" i="6"/>
  <c r="AE91" i="6"/>
  <c r="Q90" i="6"/>
  <c r="AQ90" i="6"/>
  <c r="Q89" i="6"/>
  <c r="AQ89" i="6"/>
  <c r="Q88" i="6"/>
  <c r="AQ88" i="6"/>
  <c r="Q87" i="6"/>
  <c r="AQ87" i="6"/>
  <c r="Q86" i="6"/>
  <c r="AQ86" i="6"/>
  <c r="Q85" i="6"/>
  <c r="AE85" i="6"/>
  <c r="Q84" i="6"/>
  <c r="AE84" i="6"/>
  <c r="Q83" i="6"/>
  <c r="AQ83" i="6"/>
  <c r="Q82" i="6"/>
  <c r="AQ82" i="6"/>
  <c r="Q81" i="6"/>
  <c r="AQ81" i="6"/>
  <c r="Q80" i="6"/>
  <c r="AE80" i="6"/>
  <c r="Q79" i="6"/>
  <c r="Q78" i="6"/>
  <c r="AQ78" i="6"/>
  <c r="Q77" i="6"/>
  <c r="AQ77" i="6"/>
  <c r="Q76" i="6"/>
  <c r="AE76" i="6"/>
  <c r="Q75" i="6"/>
  <c r="AQ75" i="6"/>
  <c r="Q74" i="6"/>
  <c r="AQ74" i="6"/>
  <c r="Q73" i="6"/>
  <c r="AQ73" i="6"/>
  <c r="Q72" i="6"/>
  <c r="AE72" i="6"/>
  <c r="Q71" i="6"/>
  <c r="AQ71" i="6"/>
  <c r="Q70" i="6"/>
  <c r="AQ70" i="6"/>
  <c r="Q69" i="6"/>
  <c r="AE69" i="6"/>
  <c r="Q68" i="6"/>
  <c r="AE68" i="6"/>
  <c r="Q67" i="6"/>
  <c r="AQ67" i="6"/>
  <c r="Q66" i="6"/>
  <c r="AQ66" i="6"/>
  <c r="Q65" i="6"/>
  <c r="AQ65" i="6"/>
  <c r="Q64" i="6"/>
  <c r="AE64" i="6"/>
  <c r="Q63" i="6"/>
  <c r="Q62" i="6"/>
  <c r="AQ62" i="6"/>
  <c r="Q61" i="6"/>
  <c r="AE61" i="6"/>
  <c r="Q60" i="6"/>
  <c r="AQ60" i="6"/>
  <c r="Q59" i="6"/>
  <c r="Q58" i="6"/>
  <c r="AQ58" i="6"/>
  <c r="Q57" i="6"/>
  <c r="AQ57" i="6"/>
  <c r="Q56" i="6"/>
  <c r="AE56" i="6"/>
  <c r="Q55" i="6"/>
  <c r="AQ55" i="6"/>
  <c r="Q54" i="6"/>
  <c r="AE54" i="6"/>
  <c r="Q53" i="6"/>
  <c r="AE53" i="6"/>
  <c r="Q52" i="6"/>
  <c r="AQ52" i="6"/>
  <c r="Q51" i="6"/>
  <c r="AQ51" i="6"/>
  <c r="Q50" i="6"/>
  <c r="AQ50" i="6"/>
  <c r="Q49" i="6"/>
  <c r="AQ49" i="6"/>
  <c r="Q48" i="6"/>
  <c r="AE48" i="6"/>
  <c r="Q47" i="6"/>
  <c r="Q46" i="6"/>
  <c r="AQ46" i="6"/>
  <c r="Q45" i="6"/>
  <c r="AE45" i="6"/>
  <c r="Q44" i="6"/>
  <c r="AQ44" i="6"/>
  <c r="Q43" i="6"/>
  <c r="AQ43" i="6"/>
  <c r="Q42" i="6"/>
  <c r="AQ42" i="6"/>
  <c r="Q41" i="6"/>
  <c r="Q40" i="6"/>
  <c r="AE40" i="6"/>
  <c r="Q39" i="6"/>
  <c r="Q38" i="6"/>
  <c r="AQ38" i="6"/>
  <c r="Q37" i="6"/>
  <c r="AE37" i="6"/>
  <c r="Q36" i="6"/>
  <c r="AQ36" i="6"/>
  <c r="Q35" i="6"/>
  <c r="AQ35" i="6"/>
  <c r="Q34" i="6"/>
  <c r="AQ34" i="6"/>
  <c r="Q33" i="6"/>
  <c r="AQ33" i="6"/>
  <c r="Q32" i="6"/>
  <c r="AE32" i="6"/>
  <c r="Q31" i="6"/>
  <c r="Q30" i="6"/>
  <c r="AQ30" i="6"/>
  <c r="Q29" i="6"/>
  <c r="AE29" i="6"/>
  <c r="Q28" i="6"/>
  <c r="AQ28" i="6"/>
  <c r="Q27" i="6"/>
  <c r="AQ27" i="6"/>
  <c r="Q26" i="6"/>
  <c r="AQ26" i="6"/>
  <c r="Q25" i="6"/>
  <c r="AQ25" i="6"/>
  <c r="Q24" i="6"/>
  <c r="AE24" i="6"/>
  <c r="Q23" i="6"/>
  <c r="Q22" i="6"/>
  <c r="AQ22" i="6"/>
  <c r="Q21" i="6"/>
  <c r="AE21" i="6"/>
  <c r="Q20" i="6"/>
  <c r="AQ20" i="6"/>
  <c r="Q19" i="6"/>
  <c r="AQ19" i="6"/>
  <c r="Q18" i="6"/>
  <c r="AQ18" i="6"/>
  <c r="Q17" i="6"/>
  <c r="AQ17" i="6"/>
  <c r="Q16" i="6"/>
  <c r="AE16" i="6"/>
  <c r="Q15" i="6"/>
  <c r="Q14" i="6"/>
  <c r="AQ14" i="6"/>
  <c r="Q13" i="6"/>
  <c r="AE13" i="6"/>
  <c r="Q12" i="6"/>
  <c r="Q11" i="6"/>
  <c r="AQ11" i="6"/>
  <c r="Q10" i="6"/>
  <c r="AQ10" i="6"/>
  <c r="Q9" i="6"/>
  <c r="AQ9" i="6"/>
  <c r="Q8" i="6"/>
  <c r="AE8" i="6"/>
  <c r="Q7" i="6"/>
  <c r="AQ7" i="6"/>
  <c r="M111" i="6"/>
  <c r="M110" i="6"/>
  <c r="AO110" i="6"/>
  <c r="M109" i="6"/>
  <c r="AO109" i="6"/>
  <c r="M108" i="6"/>
  <c r="AB108" i="6"/>
  <c r="M107" i="6"/>
  <c r="AO107" i="6"/>
  <c r="M106" i="6"/>
  <c r="AO106" i="6"/>
  <c r="M105" i="6"/>
  <c r="M104" i="6"/>
  <c r="AO104" i="6"/>
  <c r="M103" i="6"/>
  <c r="M102" i="6"/>
  <c r="AO102" i="6"/>
  <c r="M101" i="6"/>
  <c r="AO101" i="6"/>
  <c r="M100" i="6"/>
  <c r="AB100" i="6"/>
  <c r="M99" i="6"/>
  <c r="M98" i="6"/>
  <c r="M97" i="6"/>
  <c r="M96" i="6"/>
  <c r="AO96" i="6"/>
  <c r="M95" i="6"/>
  <c r="M94" i="6"/>
  <c r="AO94" i="6"/>
  <c r="M93" i="6"/>
  <c r="AO93" i="6"/>
  <c r="M92" i="6"/>
  <c r="AB92" i="6"/>
  <c r="M91" i="6"/>
  <c r="AO91" i="6"/>
  <c r="M90" i="6"/>
  <c r="M89" i="6"/>
  <c r="M88" i="6"/>
  <c r="AO88" i="6"/>
  <c r="M87" i="6"/>
  <c r="M86" i="6"/>
  <c r="AO86" i="6"/>
  <c r="M85" i="6"/>
  <c r="AO85" i="6"/>
  <c r="M84" i="6"/>
  <c r="AB84" i="6"/>
  <c r="M83" i="6"/>
  <c r="AO83" i="6"/>
  <c r="M82" i="6"/>
  <c r="M81" i="6"/>
  <c r="M80" i="6"/>
  <c r="AO80" i="6"/>
  <c r="M79" i="6"/>
  <c r="M78" i="6"/>
  <c r="AO78" i="6"/>
  <c r="M77" i="6"/>
  <c r="AO77" i="6"/>
  <c r="M76" i="6"/>
  <c r="AB76" i="6"/>
  <c r="M75" i="6"/>
  <c r="M74" i="6"/>
  <c r="M73" i="6"/>
  <c r="M72" i="6"/>
  <c r="AO72" i="6"/>
  <c r="M71" i="6"/>
  <c r="M70" i="6"/>
  <c r="AO70" i="6"/>
  <c r="M69" i="6"/>
  <c r="AO69" i="6"/>
  <c r="M68" i="6"/>
  <c r="AB68" i="6"/>
  <c r="M67" i="6"/>
  <c r="M66" i="6"/>
  <c r="M65" i="6"/>
  <c r="M64" i="6"/>
  <c r="AO64" i="6"/>
  <c r="M63" i="6"/>
  <c r="M62" i="6"/>
  <c r="AO62" i="6"/>
  <c r="M61" i="6"/>
  <c r="AO61" i="6"/>
  <c r="M60" i="6"/>
  <c r="AB60" i="6"/>
  <c r="M59" i="6"/>
  <c r="AO59" i="6"/>
  <c r="M58" i="6"/>
  <c r="M57" i="6"/>
  <c r="M56" i="6"/>
  <c r="AO56" i="6"/>
  <c r="M55" i="6"/>
  <c r="M54" i="6"/>
  <c r="AO54" i="6"/>
  <c r="M53" i="6"/>
  <c r="AO53" i="6"/>
  <c r="M52" i="6"/>
  <c r="AB52" i="6"/>
  <c r="M51" i="6"/>
  <c r="AO51" i="6"/>
  <c r="M50" i="6"/>
  <c r="M49" i="6"/>
  <c r="M48" i="6"/>
  <c r="M47" i="6"/>
  <c r="M46" i="6"/>
  <c r="AO46" i="6"/>
  <c r="M45" i="6"/>
  <c r="AO45" i="6"/>
  <c r="M44" i="6"/>
  <c r="AB44" i="6"/>
  <c r="M43" i="6"/>
  <c r="M42" i="6"/>
  <c r="M41" i="6"/>
  <c r="M40" i="6"/>
  <c r="AO40" i="6"/>
  <c r="M39" i="6"/>
  <c r="AO39" i="6"/>
  <c r="M38" i="6"/>
  <c r="AO38" i="6"/>
  <c r="M37" i="6"/>
  <c r="AO37" i="6"/>
  <c r="M36" i="6"/>
  <c r="AB36" i="6"/>
  <c r="M35" i="6"/>
  <c r="AO35" i="6"/>
  <c r="M34" i="6"/>
  <c r="M33" i="6"/>
  <c r="M32" i="6"/>
  <c r="M31" i="6"/>
  <c r="M30" i="6"/>
  <c r="AO30" i="6"/>
  <c r="M29" i="6"/>
  <c r="AO29" i="6"/>
  <c r="M28" i="6"/>
  <c r="AB28" i="6"/>
  <c r="M27" i="6"/>
  <c r="AO27" i="6"/>
  <c r="M26" i="6"/>
  <c r="M25" i="6"/>
  <c r="M24" i="6"/>
  <c r="AO24" i="6"/>
  <c r="M23" i="6"/>
  <c r="M22" i="6"/>
  <c r="AO22" i="6"/>
  <c r="M21" i="6"/>
  <c r="AO21" i="6"/>
  <c r="M20" i="6"/>
  <c r="AB20" i="6"/>
  <c r="M19" i="6"/>
  <c r="AO19" i="6"/>
  <c r="M18" i="6"/>
  <c r="M17" i="6"/>
  <c r="M16" i="6"/>
  <c r="AO16" i="6"/>
  <c r="M15" i="6"/>
  <c r="M14" i="6"/>
  <c r="AO14" i="6"/>
  <c r="M13" i="6"/>
  <c r="AO13" i="6"/>
  <c r="M12" i="6"/>
  <c r="AB12" i="6"/>
  <c r="M11" i="6"/>
  <c r="AB11" i="6"/>
  <c r="M10" i="6"/>
  <c r="AB10" i="6"/>
  <c r="M9" i="6"/>
  <c r="M8" i="6"/>
  <c r="AO8" i="6"/>
  <c r="M7" i="6"/>
  <c r="C4" i="6"/>
  <c r="AT4" i="6"/>
  <c r="AH74" i="6"/>
  <c r="AJ74" i="6"/>
  <c r="AS48" i="6"/>
  <c r="DU59" i="4"/>
  <c r="Z58" i="6"/>
  <c r="AH102" i="6"/>
  <c r="Y67" i="6"/>
  <c r="AU67" i="6"/>
  <c r="AH86" i="6"/>
  <c r="AO44" i="6"/>
  <c r="AS24" i="6"/>
  <c r="DU98" i="4"/>
  <c r="DU101" i="4"/>
  <c r="DU92" i="4"/>
  <c r="DU91" i="4"/>
  <c r="Z90" i="6"/>
  <c r="DU89" i="4"/>
  <c r="Z88" i="6"/>
  <c r="V58" i="6"/>
  <c r="AI58" i="6"/>
  <c r="AJ58" i="6"/>
  <c r="DU51" i="4"/>
  <c r="Z50" i="6"/>
  <c r="DU68" i="4"/>
  <c r="DU60" i="4"/>
  <c r="Z59" i="6"/>
  <c r="V90" i="6"/>
  <c r="AI90" i="6"/>
  <c r="N88" i="6"/>
  <c r="AC88" i="6"/>
  <c r="DU81" i="4"/>
  <c r="DU77" i="4"/>
  <c r="DU74" i="4"/>
  <c r="Z73" i="6"/>
  <c r="V50" i="6"/>
  <c r="AI50" i="6"/>
  <c r="DU55" i="4"/>
  <c r="DU52" i="4"/>
  <c r="DU97" i="4"/>
  <c r="DU83" i="4"/>
  <c r="Z82" i="6"/>
  <c r="DU73" i="4"/>
  <c r="Z72" i="6"/>
  <c r="DU66" i="4"/>
  <c r="DU65" i="4"/>
  <c r="DU57" i="4"/>
  <c r="AD108" i="6"/>
  <c r="DU95" i="4"/>
  <c r="DU87" i="4"/>
  <c r="Z86" i="6"/>
  <c r="DU79" i="4"/>
  <c r="Z78" i="6"/>
  <c r="DU71" i="4"/>
  <c r="Z70" i="6"/>
  <c r="DU63" i="4"/>
  <c r="DU96" i="4"/>
  <c r="DU80" i="4"/>
  <c r="DU56" i="4"/>
  <c r="Z55" i="6"/>
  <c r="DU93" i="4"/>
  <c r="Z92" i="6"/>
  <c r="DU69" i="4"/>
  <c r="Z68" i="6"/>
  <c r="DU100" i="4"/>
  <c r="Z99" i="6"/>
  <c r="DU76" i="4"/>
  <c r="Z75" i="6"/>
  <c r="DU112" i="4"/>
  <c r="Z111" i="6"/>
  <c r="DU111" i="4"/>
  <c r="DU109" i="4"/>
  <c r="Z108" i="6"/>
  <c r="DU107" i="4"/>
  <c r="Z106" i="6"/>
  <c r="DU108" i="4"/>
  <c r="Z107" i="6"/>
  <c r="DU106" i="4"/>
  <c r="DU105" i="4"/>
  <c r="Z104" i="6"/>
  <c r="DU104" i="4"/>
  <c r="Z103" i="6"/>
  <c r="DU103" i="4"/>
  <c r="DU99" i="4"/>
  <c r="DU90" i="4"/>
  <c r="DU88" i="4"/>
  <c r="Z87" i="6"/>
  <c r="DU85" i="4"/>
  <c r="Z84" i="6"/>
  <c r="DU84" i="4"/>
  <c r="Z83" i="6"/>
  <c r="DU82" i="4"/>
  <c r="AG53" i="6"/>
  <c r="S92" i="6"/>
  <c r="DU75" i="4"/>
  <c r="Z74" i="6"/>
  <c r="DU72" i="4"/>
  <c r="Z71" i="6"/>
  <c r="DU67" i="4"/>
  <c r="DU64" i="4"/>
  <c r="DU61" i="4"/>
  <c r="Z60" i="6"/>
  <c r="DU58" i="4"/>
  <c r="Z57" i="6"/>
  <c r="DU50" i="4"/>
  <c r="Z49" i="6"/>
  <c r="AD92" i="6"/>
  <c r="T107" i="6"/>
  <c r="P68" i="6"/>
  <c r="L71" i="6"/>
  <c r="DU110" i="4"/>
  <c r="Z109" i="6"/>
  <c r="DU102" i="4"/>
  <c r="Z101" i="6"/>
  <c r="DU94" i="4"/>
  <c r="Z93" i="6"/>
  <c r="DU86" i="4"/>
  <c r="DU78" i="4"/>
  <c r="Z77" i="6"/>
  <c r="DU70" i="4"/>
  <c r="Z69" i="6"/>
  <c r="DU62" i="4"/>
  <c r="DU54" i="4"/>
  <c r="Z53" i="6"/>
  <c r="DU53" i="4"/>
  <c r="L99" i="6"/>
  <c r="AE77" i="6"/>
  <c r="AG77" i="6"/>
  <c r="AO52" i="6"/>
  <c r="AO84" i="6"/>
  <c r="AS54" i="6"/>
  <c r="AS106" i="6"/>
  <c r="P59" i="6"/>
  <c r="AH53" i="6"/>
  <c r="AO20" i="6"/>
  <c r="AS110" i="6"/>
  <c r="W53" i="6"/>
  <c r="AH37" i="6"/>
  <c r="T83" i="6"/>
  <c r="AO60" i="6"/>
  <c r="AS11" i="6"/>
  <c r="AS32" i="6"/>
  <c r="AO99" i="6"/>
  <c r="AH61" i="6"/>
  <c r="AO100" i="6"/>
  <c r="AS19" i="6"/>
  <c r="AQ24" i="6"/>
  <c r="AO36" i="6"/>
  <c r="AO76" i="6"/>
  <c r="AO108" i="6"/>
  <c r="AS43" i="6"/>
  <c r="AQ54" i="6"/>
  <c r="AH40" i="6"/>
  <c r="AH66" i="6"/>
  <c r="AS35" i="6"/>
  <c r="AQ59" i="6"/>
  <c r="AS70" i="6"/>
  <c r="AS94" i="6"/>
  <c r="AQ8" i="6"/>
  <c r="AQ48" i="6"/>
  <c r="AS72" i="6"/>
  <c r="AS96" i="6"/>
  <c r="AQ107" i="6"/>
  <c r="AS80" i="6"/>
  <c r="AQ102" i="6"/>
  <c r="Y43" i="6"/>
  <c r="AU43" i="6"/>
  <c r="AS8" i="6"/>
  <c r="AQ99" i="6"/>
  <c r="AS107" i="6"/>
  <c r="AH21" i="6"/>
  <c r="AO67" i="6"/>
  <c r="AS29" i="6"/>
  <c r="AQ40" i="6"/>
  <c r="AS64" i="6"/>
  <c r="AQ110" i="6"/>
  <c r="T53" i="6"/>
  <c r="AO28" i="6"/>
  <c r="AO68" i="6"/>
  <c r="AO92" i="6"/>
  <c r="AQ91" i="6"/>
  <c r="AS101" i="6"/>
  <c r="S53" i="6"/>
  <c r="T74" i="6"/>
  <c r="P69" i="6"/>
  <c r="P53" i="6"/>
  <c r="L78" i="6"/>
  <c r="P77" i="6"/>
  <c r="T77" i="6"/>
  <c r="T108" i="6"/>
  <c r="L108" i="6"/>
  <c r="P107" i="6"/>
  <c r="AG109" i="6"/>
  <c r="P109" i="6"/>
  <c r="T99" i="6"/>
  <c r="AB18" i="6"/>
  <c r="AO18" i="6"/>
  <c r="AB42" i="6"/>
  <c r="AO42" i="6"/>
  <c r="AB58" i="6"/>
  <c r="AD58" i="6"/>
  <c r="AO58" i="6"/>
  <c r="AB74" i="6"/>
  <c r="AD74" i="6"/>
  <c r="AO74" i="6"/>
  <c r="AB90" i="6"/>
  <c r="AD90" i="6"/>
  <c r="AO90" i="6"/>
  <c r="AB98" i="6"/>
  <c r="AO98" i="6"/>
  <c r="AE15" i="6"/>
  <c r="AQ15" i="6"/>
  <c r="AE39" i="6"/>
  <c r="AQ39" i="6"/>
  <c r="AE79" i="6"/>
  <c r="AQ79" i="6"/>
  <c r="AE95" i="6"/>
  <c r="AQ95" i="6"/>
  <c r="AS36" i="6"/>
  <c r="AQ56" i="6"/>
  <c r="AQ96" i="6"/>
  <c r="AQ41" i="6"/>
  <c r="S104" i="6"/>
  <c r="AS15" i="6"/>
  <c r="AH47" i="6"/>
  <c r="AI53" i="6"/>
  <c r="AH89" i="6"/>
  <c r="AS89" i="6"/>
  <c r="AH98" i="6"/>
  <c r="AS98" i="6"/>
  <c r="W101" i="6"/>
  <c r="T104" i="6"/>
  <c r="AB106" i="6"/>
  <c r="AD106" i="6"/>
  <c r="AQ16" i="6"/>
  <c r="AQ32" i="6"/>
  <c r="AQ64" i="6"/>
  <c r="AS109" i="6"/>
  <c r="AB17" i="6"/>
  <c r="AO17" i="6"/>
  <c r="AB41" i="6"/>
  <c r="AO41" i="6"/>
  <c r="AB49" i="6"/>
  <c r="AO49" i="6"/>
  <c r="AB65" i="6"/>
  <c r="AO65" i="6"/>
  <c r="AB81" i="6"/>
  <c r="AO81" i="6"/>
  <c r="AB89" i="6"/>
  <c r="AO89" i="6"/>
  <c r="AB97" i="6"/>
  <c r="AO97" i="6"/>
  <c r="AB105" i="6"/>
  <c r="AO105" i="6"/>
  <c r="AO10" i="6"/>
  <c r="AB26" i="6"/>
  <c r="AO26" i="6"/>
  <c r="AB50" i="6"/>
  <c r="AD50" i="6"/>
  <c r="AO50" i="6"/>
  <c r="AB66" i="6"/>
  <c r="AO66" i="6"/>
  <c r="AB82" i="6"/>
  <c r="AD82" i="6"/>
  <c r="AO82" i="6"/>
  <c r="AE23" i="6"/>
  <c r="AQ23" i="6"/>
  <c r="AE47" i="6"/>
  <c r="AQ47" i="6"/>
  <c r="AB24" i="6"/>
  <c r="AH46" i="6"/>
  <c r="AS46" i="6"/>
  <c r="L74" i="6"/>
  <c r="O75" i="6"/>
  <c r="O49" i="6"/>
  <c r="AE88" i="6"/>
  <c r="S88" i="6"/>
  <c r="AS20" i="6"/>
  <c r="AH90" i="6"/>
  <c r="AS90" i="6"/>
  <c r="AS16" i="6"/>
  <c r="AS85" i="6"/>
  <c r="AQ104" i="6"/>
  <c r="AE31" i="6"/>
  <c r="AQ31" i="6"/>
  <c r="AE63" i="6"/>
  <c r="AQ63" i="6"/>
  <c r="AF101" i="6"/>
  <c r="AG101" i="6"/>
  <c r="S101" i="6"/>
  <c r="P101" i="6"/>
  <c r="W75" i="6"/>
  <c r="AH82" i="6"/>
  <c r="AJ82" i="6"/>
  <c r="AS82" i="6"/>
  <c r="AO11" i="6"/>
  <c r="AO43" i="6"/>
  <c r="AO75" i="6"/>
  <c r="AQ72" i="6"/>
  <c r="AO32" i="6"/>
  <c r="AO48" i="6"/>
  <c r="AC86" i="6"/>
  <c r="L86" i="6"/>
  <c r="AH62" i="6"/>
  <c r="AS62" i="6"/>
  <c r="AH78" i="6"/>
  <c r="AS78" i="6"/>
  <c r="AB9" i="6"/>
  <c r="AO9" i="6"/>
  <c r="AB25" i="6"/>
  <c r="AO25" i="6"/>
  <c r="AB33" i="6"/>
  <c r="AO33" i="6"/>
  <c r="AB57" i="6"/>
  <c r="AO57" i="6"/>
  <c r="AB73" i="6"/>
  <c r="AD73" i="6"/>
  <c r="AO73" i="6"/>
  <c r="AB34" i="6"/>
  <c r="AO34" i="6"/>
  <c r="AB7" i="6"/>
  <c r="AO7" i="6"/>
  <c r="AB15" i="6"/>
  <c r="AO15" i="6"/>
  <c r="AB23" i="6"/>
  <c r="AO23" i="6"/>
  <c r="AB31" i="6"/>
  <c r="AO31" i="6"/>
  <c r="AB47" i="6"/>
  <c r="AO47" i="6"/>
  <c r="AB55" i="6"/>
  <c r="AO55" i="6"/>
  <c r="AB63" i="6"/>
  <c r="AO63" i="6"/>
  <c r="AB71" i="6"/>
  <c r="AD71" i="6"/>
  <c r="AO71" i="6"/>
  <c r="AB79" i="6"/>
  <c r="AO79" i="6"/>
  <c r="AB87" i="6"/>
  <c r="AO87" i="6"/>
  <c r="AB95" i="6"/>
  <c r="AO95" i="6"/>
  <c r="AB103" i="6"/>
  <c r="AD103" i="6"/>
  <c r="AO103" i="6"/>
  <c r="AB111" i="6"/>
  <c r="AO111" i="6"/>
  <c r="AH13" i="6"/>
  <c r="AH68" i="6"/>
  <c r="AJ68" i="6"/>
  <c r="AS68" i="6"/>
  <c r="AQ80" i="6"/>
  <c r="AD84" i="6"/>
  <c r="S69" i="6"/>
  <c r="AQ12" i="6"/>
  <c r="AQ68" i="6"/>
  <c r="AQ76" i="6"/>
  <c r="AS81" i="6"/>
  <c r="AQ84" i="6"/>
  <c r="AQ92" i="6"/>
  <c r="AS97" i="6"/>
  <c r="AQ100" i="6"/>
  <c r="AS105" i="6"/>
  <c r="AQ108" i="6"/>
  <c r="AS76" i="6"/>
  <c r="AS92" i="6"/>
  <c r="AS100" i="6"/>
  <c r="AS108" i="6"/>
  <c r="Y46" i="6"/>
  <c r="AU46" i="6"/>
  <c r="Y110" i="6"/>
  <c r="AU110" i="6"/>
  <c r="P108" i="6"/>
  <c r="S93" i="6"/>
  <c r="AJ106" i="6"/>
  <c r="W108" i="6"/>
  <c r="AQ13" i="6"/>
  <c r="AQ21" i="6"/>
  <c r="AQ29" i="6"/>
  <c r="AQ37" i="6"/>
  <c r="AQ45" i="6"/>
  <c r="AQ53" i="6"/>
  <c r="AS58" i="6"/>
  <c r="AQ61" i="6"/>
  <c r="AQ69" i="6"/>
  <c r="AQ85" i="6"/>
  <c r="AQ93" i="6"/>
  <c r="AQ101" i="6"/>
  <c r="AQ109" i="6"/>
  <c r="P106" i="6"/>
  <c r="W109" i="6"/>
  <c r="AC55" i="6"/>
  <c r="O55" i="6"/>
  <c r="L55" i="6"/>
  <c r="O73" i="6"/>
  <c r="O106" i="6"/>
  <c r="L103" i="6"/>
  <c r="AC111" i="6"/>
  <c r="L111" i="6"/>
  <c r="AF50" i="6"/>
  <c r="P50" i="6"/>
  <c r="O108" i="6"/>
  <c r="L92" i="6"/>
  <c r="S77" i="6"/>
  <c r="AJ101" i="6"/>
  <c r="AD68" i="6"/>
  <c r="L59" i="6"/>
  <c r="S87" i="6"/>
  <c r="S103" i="6"/>
  <c r="S109" i="6"/>
  <c r="Y27" i="6"/>
  <c r="AU27" i="6"/>
  <c r="AB27" i="6"/>
  <c r="AB35" i="6"/>
  <c r="Y35" i="6"/>
  <c r="AU35" i="6"/>
  <c r="Y51" i="6"/>
  <c r="AU51" i="6"/>
  <c r="AB51" i="6"/>
  <c r="AB83" i="6"/>
  <c r="AD83" i="6"/>
  <c r="Y83" i="6"/>
  <c r="AU83" i="6"/>
  <c r="AB91" i="6"/>
  <c r="Y91" i="6"/>
  <c r="AU91" i="6"/>
  <c r="AB99" i="6"/>
  <c r="AD99" i="6"/>
  <c r="Y99" i="6"/>
  <c r="AU99" i="6"/>
  <c r="AB107" i="6"/>
  <c r="AD107" i="6"/>
  <c r="Y107" i="6"/>
  <c r="AE44" i="6"/>
  <c r="AH27" i="6"/>
  <c r="AE28" i="6"/>
  <c r="AE52" i="6"/>
  <c r="L90" i="6"/>
  <c r="O74" i="6"/>
  <c r="O84" i="6"/>
  <c r="O111" i="6"/>
  <c r="AG69" i="6"/>
  <c r="AG68" i="6"/>
  <c r="AE7" i="6"/>
  <c r="AB39" i="6"/>
  <c r="O83" i="6"/>
  <c r="AE20" i="6"/>
  <c r="AE36" i="6"/>
  <c r="AE60" i="6"/>
  <c r="P60" i="6"/>
  <c r="S60" i="6"/>
  <c r="AB43" i="6"/>
  <c r="W69" i="6"/>
  <c r="AH69" i="6"/>
  <c r="AJ69" i="6"/>
  <c r="T69" i="6"/>
  <c r="L75" i="6"/>
  <c r="L109" i="6"/>
  <c r="L50" i="6"/>
  <c r="L77" i="6"/>
  <c r="L101" i="6"/>
  <c r="Y13" i="6"/>
  <c r="AU13" i="6"/>
  <c r="AB13" i="6"/>
  <c r="AB21" i="6"/>
  <c r="Y21" i="6"/>
  <c r="AU21" i="6"/>
  <c r="Y29" i="6"/>
  <c r="AU29" i="6"/>
  <c r="AB29" i="6"/>
  <c r="AB37" i="6"/>
  <c r="Y37" i="6"/>
  <c r="AU37" i="6"/>
  <c r="Y45" i="6"/>
  <c r="AB45" i="6"/>
  <c r="Y53" i="6"/>
  <c r="O53" i="6"/>
  <c r="AB61" i="6"/>
  <c r="Y61" i="6"/>
  <c r="AU61" i="6"/>
  <c r="AB69" i="6"/>
  <c r="Y69" i="6"/>
  <c r="AU69" i="6"/>
  <c r="O69" i="6"/>
  <c r="AB77" i="6"/>
  <c r="AD77" i="6"/>
  <c r="Y77" i="6"/>
  <c r="O77" i="6"/>
  <c r="AB85" i="6"/>
  <c r="Y85" i="6"/>
  <c r="AU85" i="6"/>
  <c r="AB93" i="6"/>
  <c r="AD93" i="6"/>
  <c r="Y93" i="6"/>
  <c r="O93" i="6"/>
  <c r="Y101" i="6"/>
  <c r="AB101" i="6"/>
  <c r="AD101" i="6"/>
  <c r="O101" i="6"/>
  <c r="Y109" i="6"/>
  <c r="AB109" i="6"/>
  <c r="AD109" i="6"/>
  <c r="O109" i="6"/>
  <c r="L60" i="6"/>
  <c r="AC60" i="6"/>
  <c r="AD60" i="6"/>
  <c r="O57" i="6"/>
  <c r="O87" i="6"/>
  <c r="O99" i="6"/>
  <c r="AE12" i="6"/>
  <c r="AB19" i="6"/>
  <c r="Y19" i="6"/>
  <c r="AU19" i="6"/>
  <c r="Y59" i="6"/>
  <c r="AU59" i="6"/>
  <c r="AB59" i="6"/>
  <c r="AD59" i="6"/>
  <c r="AB75" i="6"/>
  <c r="AD75" i="6"/>
  <c r="Y75" i="6"/>
  <c r="AU75" i="6"/>
  <c r="AB14" i="6"/>
  <c r="Y14" i="6"/>
  <c r="AU14" i="6"/>
  <c r="AB22" i="6"/>
  <c r="Y22" i="6"/>
  <c r="AU22" i="6"/>
  <c r="AB30" i="6"/>
  <c r="Y30" i="6"/>
  <c r="AB38" i="6"/>
  <c r="Y38" i="6"/>
  <c r="AU38" i="6"/>
  <c r="AB54" i="6"/>
  <c r="Y54" i="6"/>
  <c r="AU54" i="6"/>
  <c r="Y62" i="6"/>
  <c r="AU62" i="6"/>
  <c r="AB62" i="6"/>
  <c r="Y70" i="6"/>
  <c r="AU70" i="6"/>
  <c r="AB70" i="6"/>
  <c r="AD70" i="6"/>
  <c r="Y78" i="6"/>
  <c r="AU78" i="6"/>
  <c r="AB78" i="6"/>
  <c r="AD78" i="6"/>
  <c r="O78" i="6"/>
  <c r="AB86" i="6"/>
  <c r="Y86" i="6"/>
  <c r="AU86" i="6"/>
  <c r="O86" i="6"/>
  <c r="AB94" i="6"/>
  <c r="Y94" i="6"/>
  <c r="AU94" i="6"/>
  <c r="AB102" i="6"/>
  <c r="Y102" i="6"/>
  <c r="AU102" i="6"/>
  <c r="AB110" i="6"/>
  <c r="AE71" i="6"/>
  <c r="AG71" i="6"/>
  <c r="P71" i="6"/>
  <c r="AE111" i="6"/>
  <c r="AG111" i="6"/>
  <c r="P111" i="6"/>
  <c r="AB46" i="6"/>
  <c r="AB67" i="6"/>
  <c r="L53" i="6"/>
  <c r="L93" i="6"/>
  <c r="O50" i="6"/>
  <c r="O59" i="6"/>
  <c r="O68" i="6"/>
  <c r="O90" i="6"/>
  <c r="O103" i="6"/>
  <c r="S111" i="6"/>
  <c r="L69" i="6"/>
  <c r="AC69" i="6"/>
  <c r="AE55" i="6"/>
  <c r="AG55" i="6"/>
  <c r="P55" i="6"/>
  <c r="Y28" i="6"/>
  <c r="AU28" i="6"/>
  <c r="AH28" i="6"/>
  <c r="L68" i="6"/>
  <c r="L82" i="6"/>
  <c r="Y8" i="6"/>
  <c r="AU8" i="6"/>
  <c r="AB8" i="6"/>
  <c r="Y16" i="6"/>
  <c r="AU16" i="6"/>
  <c r="AB16" i="6"/>
  <c r="Y24" i="6"/>
  <c r="AU24" i="6"/>
  <c r="AB32" i="6"/>
  <c r="Y32" i="6"/>
  <c r="AU32" i="6"/>
  <c r="AB40" i="6"/>
  <c r="Y40" i="6"/>
  <c r="AU40" i="6"/>
  <c r="AB48" i="6"/>
  <c r="Y48" i="6"/>
  <c r="AU48" i="6"/>
  <c r="AB56" i="6"/>
  <c r="Y56" i="6"/>
  <c r="AU56" i="6"/>
  <c r="Y64" i="6"/>
  <c r="AU64" i="6"/>
  <c r="AB64" i="6"/>
  <c r="L72" i="6"/>
  <c r="Y72" i="6"/>
  <c r="AU72" i="6"/>
  <c r="AB72" i="6"/>
  <c r="AD72" i="6"/>
  <c r="Y80" i="6"/>
  <c r="AU80" i="6"/>
  <c r="AB80" i="6"/>
  <c r="AB88" i="6"/>
  <c r="Y88" i="6"/>
  <c r="AU88" i="6"/>
  <c r="Y96" i="6"/>
  <c r="AU96" i="6"/>
  <c r="L104" i="6"/>
  <c r="AB104" i="6"/>
  <c r="AD104" i="6"/>
  <c r="O104" i="6"/>
  <c r="Y104" i="6"/>
  <c r="AU104" i="6"/>
  <c r="L87" i="6"/>
  <c r="AC87" i="6"/>
  <c r="O60" i="6"/>
  <c r="O70" i="6"/>
  <c r="AE9" i="6"/>
  <c r="AE17" i="6"/>
  <c r="AE25" i="6"/>
  <c r="AE33" i="6"/>
  <c r="AE41" i="6"/>
  <c r="AE49" i="6"/>
  <c r="S49" i="6"/>
  <c r="AE57" i="6"/>
  <c r="S57" i="6"/>
  <c r="AE65" i="6"/>
  <c r="AE73" i="6"/>
  <c r="S73" i="6"/>
  <c r="AE81" i="6"/>
  <c r="AE89" i="6"/>
  <c r="AE97" i="6"/>
  <c r="AE105" i="6"/>
  <c r="P72" i="6"/>
  <c r="AF72" i="6"/>
  <c r="AG72" i="6"/>
  <c r="P88" i="6"/>
  <c r="AF88" i="6"/>
  <c r="P104" i="6"/>
  <c r="AF104" i="6"/>
  <c r="AG104" i="6"/>
  <c r="S71" i="6"/>
  <c r="AE103" i="6"/>
  <c r="AG103" i="6"/>
  <c r="P103" i="6"/>
  <c r="L70" i="6"/>
  <c r="L83" i="6"/>
  <c r="L106" i="6"/>
  <c r="O71" i="6"/>
  <c r="O92" i="6"/>
  <c r="AE10" i="6"/>
  <c r="AE18" i="6"/>
  <c r="AE26" i="6"/>
  <c r="AE34" i="6"/>
  <c r="AE42" i="6"/>
  <c r="AE50" i="6"/>
  <c r="S50" i="6"/>
  <c r="AE58" i="6"/>
  <c r="S58" i="6"/>
  <c r="AE66" i="6"/>
  <c r="AE74" i="6"/>
  <c r="S74" i="6"/>
  <c r="AE82" i="6"/>
  <c r="S82" i="6"/>
  <c r="AE90" i="6"/>
  <c r="AG90" i="6"/>
  <c r="S90" i="6"/>
  <c r="AE98" i="6"/>
  <c r="AE106" i="6"/>
  <c r="AG106" i="6"/>
  <c r="S106" i="6"/>
  <c r="P49" i="6"/>
  <c r="AF49" i="6"/>
  <c r="P57" i="6"/>
  <c r="P73" i="6"/>
  <c r="AF73" i="6"/>
  <c r="S72" i="6"/>
  <c r="AB53" i="6"/>
  <c r="AD53" i="6"/>
  <c r="O58" i="6"/>
  <c r="AE87" i="6"/>
  <c r="AG87" i="6"/>
  <c r="P87" i="6"/>
  <c r="Y11" i="6"/>
  <c r="AU11" i="6"/>
  <c r="AI72" i="6"/>
  <c r="AJ72" i="6"/>
  <c r="W72" i="6"/>
  <c r="L58" i="6"/>
  <c r="L84" i="6"/>
  <c r="L107" i="6"/>
  <c r="L49" i="6"/>
  <c r="AC49" i="6"/>
  <c r="L57" i="6"/>
  <c r="AC57" i="6"/>
  <c r="L73" i="6"/>
  <c r="O72" i="6"/>
  <c r="O82" i="6"/>
  <c r="O107" i="6"/>
  <c r="AE11" i="6"/>
  <c r="AE19" i="6"/>
  <c r="AE27" i="6"/>
  <c r="AE35" i="6"/>
  <c r="AE43" i="6"/>
  <c r="AE51" i="6"/>
  <c r="AE59" i="6"/>
  <c r="AG59" i="6"/>
  <c r="S59" i="6"/>
  <c r="AE67" i="6"/>
  <c r="AE75" i="6"/>
  <c r="S75" i="6"/>
  <c r="S83" i="6"/>
  <c r="AE83" i="6"/>
  <c r="S55" i="6"/>
  <c r="AF57" i="6"/>
  <c r="AB96" i="6"/>
  <c r="AG99" i="6"/>
  <c r="AG107" i="6"/>
  <c r="P58" i="6"/>
  <c r="P74" i="6"/>
  <c r="P82" i="6"/>
  <c r="AF82" i="6"/>
  <c r="P90" i="6"/>
  <c r="P75" i="6"/>
  <c r="AF75" i="6"/>
  <c r="P83" i="6"/>
  <c r="Y12" i="6"/>
  <c r="AH12" i="6"/>
  <c r="AF83" i="6"/>
  <c r="AE92" i="6"/>
  <c r="AH104" i="6"/>
  <c r="AJ104" i="6"/>
  <c r="W104" i="6"/>
  <c r="P99" i="6"/>
  <c r="AG93" i="6"/>
  <c r="AG60" i="6"/>
  <c r="P84" i="6"/>
  <c r="AF84" i="6"/>
  <c r="AG84" i="6"/>
  <c r="P92" i="6"/>
  <c r="AG108" i="6"/>
  <c r="S99" i="6"/>
  <c r="S107" i="6"/>
  <c r="W84" i="6"/>
  <c r="AH84" i="6"/>
  <c r="AJ84" i="6"/>
  <c r="T84" i="6"/>
  <c r="AH88" i="6"/>
  <c r="AJ88" i="6"/>
  <c r="W88" i="6"/>
  <c r="T88" i="6"/>
  <c r="AF92" i="6"/>
  <c r="AE22" i="6"/>
  <c r="AE30" i="6"/>
  <c r="AE38" i="6"/>
  <c r="AE46" i="6"/>
  <c r="AE62" i="6"/>
  <c r="P70" i="6"/>
  <c r="AE70" i="6"/>
  <c r="AG70" i="6"/>
  <c r="P78" i="6"/>
  <c r="AE78" i="6"/>
  <c r="AG78" i="6"/>
  <c r="P86" i="6"/>
  <c r="AE94" i="6"/>
  <c r="P93" i="6"/>
  <c r="S68" i="6"/>
  <c r="S84" i="6"/>
  <c r="S108" i="6"/>
  <c r="Y20" i="6"/>
  <c r="AH20" i="6"/>
  <c r="Y50" i="6"/>
  <c r="W60" i="6"/>
  <c r="AH60" i="6"/>
  <c r="AJ60" i="6"/>
  <c r="T60" i="6"/>
  <c r="AE86" i="6"/>
  <c r="AG86" i="6"/>
  <c r="W93" i="6"/>
  <c r="AH93" i="6"/>
  <c r="AJ93" i="6"/>
  <c r="T93" i="6"/>
  <c r="AF58" i="6"/>
  <c r="W77" i="6"/>
  <c r="AH77" i="6"/>
  <c r="AJ77" i="6"/>
  <c r="S70" i="6"/>
  <c r="S78" i="6"/>
  <c r="S86" i="6"/>
  <c r="AH52" i="6"/>
  <c r="AH56" i="6"/>
  <c r="AE14" i="6"/>
  <c r="AH45" i="6"/>
  <c r="AI59" i="6"/>
  <c r="T59" i="6"/>
  <c r="AF74" i="6"/>
  <c r="AJ109" i="6"/>
  <c r="T75" i="6"/>
  <c r="W83" i="6"/>
  <c r="T92" i="6"/>
  <c r="T101" i="6"/>
  <c r="T109" i="6"/>
  <c r="Y36" i="6"/>
  <c r="AU36" i="6"/>
  <c r="W92" i="6"/>
  <c r="AH36" i="6"/>
  <c r="W59" i="6"/>
  <c r="T68" i="6"/>
  <c r="W99" i="6"/>
  <c r="W107" i="6"/>
  <c r="W68" i="6"/>
  <c r="Y7" i="6"/>
  <c r="AU7" i="6"/>
  <c r="AH7" i="6"/>
  <c r="AH9" i="6"/>
  <c r="Y9" i="6"/>
  <c r="AU9" i="6"/>
  <c r="AH57" i="6"/>
  <c r="AJ57" i="6"/>
  <c r="Y57" i="6"/>
  <c r="AU57" i="6"/>
  <c r="W57" i="6"/>
  <c r="T57" i="6"/>
  <c r="T111" i="6"/>
  <c r="AH111" i="6"/>
  <c r="AJ111" i="6"/>
  <c r="Y111" i="6"/>
  <c r="AU111" i="6"/>
  <c r="W111" i="6"/>
  <c r="AH10" i="6"/>
  <c r="Y10" i="6"/>
  <c r="AU10" i="6"/>
  <c r="AH17" i="6"/>
  <c r="Y17" i="6"/>
  <c r="AU17" i="6"/>
  <c r="AH26" i="6"/>
  <c r="Y26" i="6"/>
  <c r="AU26" i="6"/>
  <c r="AH33" i="6"/>
  <c r="Y33" i="6"/>
  <c r="AU33" i="6"/>
  <c r="AH73" i="6"/>
  <c r="AJ73" i="6"/>
  <c r="Y73" i="6"/>
  <c r="AU73" i="6"/>
  <c r="W73" i="6"/>
  <c r="T73" i="6"/>
  <c r="AH34" i="6"/>
  <c r="Y34" i="6"/>
  <c r="AU34" i="6"/>
  <c r="AH41" i="6"/>
  <c r="Y41" i="6"/>
  <c r="AU41" i="6"/>
  <c r="AH18" i="6"/>
  <c r="Y18" i="6"/>
  <c r="AU18" i="6"/>
  <c r="AH42" i="6"/>
  <c r="Y42" i="6"/>
  <c r="AU42" i="6"/>
  <c r="AH25" i="6"/>
  <c r="Y25" i="6"/>
  <c r="AU25" i="6"/>
  <c r="T87" i="6"/>
  <c r="AH87" i="6"/>
  <c r="AJ87" i="6"/>
  <c r="Y87" i="6"/>
  <c r="AU87" i="6"/>
  <c r="W87" i="6"/>
  <c r="Y106" i="6"/>
  <c r="AU106" i="6"/>
  <c r="W106" i="6"/>
  <c r="T106" i="6"/>
  <c r="Y15" i="6"/>
  <c r="AU15" i="6"/>
  <c r="AH22" i="6"/>
  <c r="Y23" i="6"/>
  <c r="AU23" i="6"/>
  <c r="AH30" i="6"/>
  <c r="Y31" i="6"/>
  <c r="AU31" i="6"/>
  <c r="AH38" i="6"/>
  <c r="Y39" i="6"/>
  <c r="AU39" i="6"/>
  <c r="Y44" i="6"/>
  <c r="AU44" i="6"/>
  <c r="T55" i="6"/>
  <c r="AH55" i="6"/>
  <c r="AJ55" i="6"/>
  <c r="Y55" i="6"/>
  <c r="AU55" i="6"/>
  <c r="T71" i="6"/>
  <c r="AH71" i="6"/>
  <c r="AJ71" i="6"/>
  <c r="Y71" i="6"/>
  <c r="AU71" i="6"/>
  <c r="T78" i="6"/>
  <c r="AI78" i="6"/>
  <c r="W78" i="6"/>
  <c r="Y82" i="6"/>
  <c r="AU82" i="6"/>
  <c r="W82" i="6"/>
  <c r="T82" i="6"/>
  <c r="AH15" i="6"/>
  <c r="AH23" i="6"/>
  <c r="AH31" i="6"/>
  <c r="AH39" i="6"/>
  <c r="AH44" i="6"/>
  <c r="AH50" i="6"/>
  <c r="Y58" i="6"/>
  <c r="AU58" i="6"/>
  <c r="T72" i="6"/>
  <c r="Y74" i="6"/>
  <c r="AU74" i="6"/>
  <c r="W74" i="6"/>
  <c r="T103" i="6"/>
  <c r="AH103" i="6"/>
  <c r="AJ103" i="6"/>
  <c r="Y103" i="6"/>
  <c r="AU103" i="6"/>
  <c r="W103" i="6"/>
  <c r="AH14" i="6"/>
  <c r="Y52" i="6"/>
  <c r="AU52" i="6"/>
  <c r="W55" i="6"/>
  <c r="AH65" i="6"/>
  <c r="Y65" i="6"/>
  <c r="AU65" i="6"/>
  <c r="W71" i="6"/>
  <c r="AH79" i="6"/>
  <c r="Y79" i="6"/>
  <c r="AU79" i="6"/>
  <c r="Y98" i="6"/>
  <c r="AU98" i="6"/>
  <c r="AH49" i="6"/>
  <c r="AJ49" i="6"/>
  <c r="Y49" i="6"/>
  <c r="AU49" i="6"/>
  <c r="T49" i="6"/>
  <c r="AJ92" i="6"/>
  <c r="AH51" i="6"/>
  <c r="AH63" i="6"/>
  <c r="Y63" i="6"/>
  <c r="AU63" i="6"/>
  <c r="AH95" i="6"/>
  <c r="Y95" i="6"/>
  <c r="AU95" i="6"/>
  <c r="Y47" i="6"/>
  <c r="AU47" i="6"/>
  <c r="W49" i="6"/>
  <c r="Y66" i="6"/>
  <c r="AU66" i="6"/>
  <c r="T70" i="6"/>
  <c r="AI70" i="6"/>
  <c r="AJ70" i="6"/>
  <c r="W70" i="6"/>
  <c r="T86" i="6"/>
  <c r="AI86" i="6"/>
  <c r="W86" i="6"/>
  <c r="Y90" i="6"/>
  <c r="AU90" i="6"/>
  <c r="AJ108" i="6"/>
  <c r="AH59" i="6"/>
  <c r="Y60" i="6"/>
  <c r="AU60" i="6"/>
  <c r="AH67" i="6"/>
  <c r="Y68" i="6"/>
  <c r="AU68" i="6"/>
  <c r="AH75" i="6"/>
  <c r="AJ75" i="6"/>
  <c r="Y76" i="6"/>
  <c r="AU76" i="6"/>
  <c r="AH83" i="6"/>
  <c r="AJ83" i="6"/>
  <c r="Y84" i="6"/>
  <c r="AU84" i="6"/>
  <c r="AH91" i="6"/>
  <c r="Y92" i="6"/>
  <c r="AU92" i="6"/>
  <c r="AH99" i="6"/>
  <c r="AJ99" i="6"/>
  <c r="Y100" i="6"/>
  <c r="AU100" i="6"/>
  <c r="AH107" i="6"/>
  <c r="AJ107" i="6"/>
  <c r="Y108" i="6"/>
  <c r="AU108" i="6"/>
  <c r="Y81" i="6"/>
  <c r="AU81" i="6"/>
  <c r="Y89" i="6"/>
  <c r="AU89" i="6"/>
  <c r="Y97" i="6"/>
  <c r="AU97" i="6"/>
  <c r="Y105" i="6"/>
  <c r="AU105" i="6"/>
  <c r="AJ53" i="6"/>
  <c r="AD55" i="6"/>
  <c r="AJ86" i="6"/>
  <c r="X101" i="6"/>
  <c r="AA83" i="6"/>
  <c r="X86" i="6"/>
  <c r="T58" i="6"/>
  <c r="X77" i="6"/>
  <c r="W58" i="6"/>
  <c r="T90" i="6"/>
  <c r="X93" i="6"/>
  <c r="AA109" i="6"/>
  <c r="AJ90" i="6"/>
  <c r="O88" i="6"/>
  <c r="AD88" i="6"/>
  <c r="W90" i="6"/>
  <c r="L88" i="6"/>
  <c r="W50" i="6"/>
  <c r="T50" i="6"/>
  <c r="AJ50" i="6"/>
  <c r="X53" i="6"/>
  <c r="AG50" i="6"/>
  <c r="AD86" i="6"/>
  <c r="X78" i="6"/>
  <c r="AA78" i="6"/>
  <c r="AG88" i="6"/>
  <c r="AA99" i="6"/>
  <c r="X83" i="6"/>
  <c r="AD69" i="6"/>
  <c r="X69" i="6"/>
  <c r="AA69" i="6"/>
  <c r="AG83" i="6"/>
  <c r="AJ59" i="6"/>
  <c r="AD111" i="6"/>
  <c r="AD49" i="6"/>
  <c r="AA107" i="6"/>
  <c r="AU107" i="6"/>
  <c r="X50" i="6"/>
  <c r="AU50" i="6"/>
  <c r="X99" i="6"/>
  <c r="AU20" i="6"/>
  <c r="AD57" i="6"/>
  <c r="AA77" i="6"/>
  <c r="AU77" i="6"/>
  <c r="AA53" i="6"/>
  <c r="AU53" i="6"/>
  <c r="AU12" i="6"/>
  <c r="AA86" i="6"/>
  <c r="AA101" i="6"/>
  <c r="AU101" i="6"/>
  <c r="AD87" i="6"/>
  <c r="AU30" i="6"/>
  <c r="X109" i="6"/>
  <c r="AU109" i="6"/>
  <c r="AJ78" i="6"/>
  <c r="AA93" i="6"/>
  <c r="AU93" i="6"/>
  <c r="AU45" i="6"/>
  <c r="AG92" i="6"/>
  <c r="AG73" i="6"/>
  <c r="X107" i="6"/>
  <c r="AA104" i="6"/>
  <c r="X104" i="6"/>
  <c r="AA88" i="6"/>
  <c r="X88" i="6"/>
  <c r="AA50" i="6"/>
  <c r="AG75" i="6"/>
  <c r="AG74" i="6"/>
  <c r="AG57" i="6"/>
  <c r="AG82" i="6"/>
  <c r="AG49" i="6"/>
  <c r="AA70" i="6"/>
  <c r="X70" i="6"/>
  <c r="X75" i="6"/>
  <c r="AA75" i="6"/>
  <c r="AA72" i="6"/>
  <c r="X72" i="6"/>
  <c r="X59" i="6"/>
  <c r="AA59" i="6"/>
  <c r="AG58" i="6"/>
  <c r="AA87" i="6"/>
  <c r="X87" i="6"/>
  <c r="X73" i="6"/>
  <c r="AA73" i="6"/>
  <c r="AA108" i="6"/>
  <c r="X108" i="6"/>
  <c r="X90" i="6"/>
  <c r="AA90" i="6"/>
  <c r="AA49" i="6"/>
  <c r="X49" i="6"/>
  <c r="AA103" i="6"/>
  <c r="X103" i="6"/>
  <c r="X82" i="6"/>
  <c r="AA82" i="6"/>
  <c r="X106" i="6"/>
  <c r="AA106" i="6"/>
  <c r="AA84" i="6"/>
  <c r="X84" i="6"/>
  <c r="AA60" i="6"/>
  <c r="X60" i="6"/>
  <c r="AA111" i="6"/>
  <c r="X111" i="6"/>
  <c r="AA55" i="6"/>
  <c r="X55" i="6"/>
  <c r="AA68" i="6"/>
  <c r="X68" i="6"/>
  <c r="X57" i="6"/>
  <c r="AA57" i="6"/>
  <c r="X58" i="6"/>
  <c r="AA58" i="6"/>
  <c r="X92" i="6"/>
  <c r="AA92" i="6"/>
  <c r="X74" i="6"/>
  <c r="AA74" i="6"/>
  <c r="AA71" i="6"/>
  <c r="X71" i="6"/>
  <c r="V7" i="6"/>
  <c r="V52" i="6"/>
  <c r="V54" i="6"/>
  <c r="V56" i="6"/>
  <c r="V61" i="6"/>
  <c r="V62" i="6"/>
  <c r="V64" i="6"/>
  <c r="V96" i="6"/>
  <c r="V102" i="6"/>
  <c r="V105" i="6"/>
  <c r="R7" i="6"/>
  <c r="R52" i="6"/>
  <c r="R54" i="6"/>
  <c r="R56" i="6"/>
  <c r="R61" i="6"/>
  <c r="R62" i="6"/>
  <c r="R64" i="6"/>
  <c r="R96" i="6"/>
  <c r="R102" i="6"/>
  <c r="R105" i="6"/>
  <c r="N7" i="6"/>
  <c r="N52" i="6"/>
  <c r="N54" i="6"/>
  <c r="N56" i="6"/>
  <c r="N61" i="6"/>
  <c r="N62" i="6"/>
  <c r="N64" i="6"/>
  <c r="N96" i="6"/>
  <c r="N102" i="6"/>
  <c r="N105" i="6"/>
  <c r="B17" i="11"/>
  <c r="D17" i="11"/>
  <c r="R8" i="11"/>
  <c r="S8" i="11"/>
  <c r="T8" i="11"/>
  <c r="R11" i="11"/>
  <c r="S11" i="11"/>
  <c r="T11" i="11"/>
  <c r="AC11" i="11"/>
  <c r="AD11" i="11"/>
  <c r="AE11" i="11"/>
  <c r="AF11" i="11"/>
  <c r="AG11" i="11"/>
  <c r="AH11" i="11"/>
  <c r="AI11" i="11"/>
  <c r="B18" i="11"/>
  <c r="D18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N21" i="11"/>
  <c r="M21" i="11"/>
  <c r="L21" i="11"/>
  <c r="K21" i="11"/>
  <c r="J21" i="11"/>
  <c r="I21" i="11"/>
  <c r="H21" i="11"/>
  <c r="G21" i="11"/>
  <c r="F21" i="11"/>
  <c r="E21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O20" i="11"/>
  <c r="N20" i="11"/>
  <c r="M20" i="11"/>
  <c r="L20" i="11"/>
  <c r="K20" i="11"/>
  <c r="J20" i="11"/>
  <c r="I20" i="11"/>
  <c r="H20" i="11"/>
  <c r="G20" i="11"/>
  <c r="F20" i="11"/>
  <c r="E20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N19" i="11"/>
  <c r="M19" i="11"/>
  <c r="L19" i="11"/>
  <c r="K19" i="11"/>
  <c r="J19" i="11"/>
  <c r="I19" i="11"/>
  <c r="H19" i="11"/>
  <c r="G19" i="11"/>
  <c r="F19" i="11"/>
  <c r="E19" i="11"/>
  <c r="AC8" i="11"/>
  <c r="AD8" i="11"/>
  <c r="AE8" i="11"/>
  <c r="AF8" i="11"/>
  <c r="AG8" i="11"/>
  <c r="AH8" i="11"/>
  <c r="AI8" i="11"/>
  <c r="AC5" i="11"/>
  <c r="AD5" i="11"/>
  <c r="AE5" i="11"/>
  <c r="AF5" i="11"/>
  <c r="AG5" i="11"/>
  <c r="AH5" i="11"/>
  <c r="AI5" i="11"/>
  <c r="R27" i="6"/>
  <c r="AF27" i="6"/>
  <c r="AG27" i="6"/>
  <c r="N63" i="6"/>
  <c r="O63" i="6"/>
  <c r="DR5" i="4"/>
  <c r="R63" i="6"/>
  <c r="S63" i="6"/>
  <c r="DS5" i="4"/>
  <c r="V63" i="6"/>
  <c r="AI63" i="6"/>
  <c r="AJ63" i="6"/>
  <c r="DT5" i="4"/>
  <c r="V29" i="6"/>
  <c r="W29" i="6"/>
  <c r="R25" i="6"/>
  <c r="AF25" i="6"/>
  <c r="AG25" i="6"/>
  <c r="R110" i="6"/>
  <c r="P110" i="6"/>
  <c r="R48" i="6"/>
  <c r="V110" i="6"/>
  <c r="W110" i="6"/>
  <c r="V48" i="6"/>
  <c r="N110" i="6"/>
  <c r="AC110" i="6"/>
  <c r="AD110" i="6"/>
  <c r="N48" i="6"/>
  <c r="R100" i="6"/>
  <c r="AF100" i="6"/>
  <c r="AG100" i="6"/>
  <c r="R45" i="6"/>
  <c r="N100" i="6"/>
  <c r="AC100" i="6"/>
  <c r="AD100" i="6"/>
  <c r="N45" i="6"/>
  <c r="V100" i="6"/>
  <c r="AI100" i="6"/>
  <c r="AJ100" i="6"/>
  <c r="V45" i="6"/>
  <c r="N98" i="6"/>
  <c r="O98" i="6"/>
  <c r="N44" i="6"/>
  <c r="R98" i="6"/>
  <c r="S98" i="6"/>
  <c r="R44" i="6"/>
  <c r="V98" i="6"/>
  <c r="W98" i="6"/>
  <c r="V44" i="6"/>
  <c r="V97" i="6"/>
  <c r="W97" i="6"/>
  <c r="V43" i="6"/>
  <c r="N97" i="6"/>
  <c r="O97" i="6"/>
  <c r="N43" i="6"/>
  <c r="R97" i="6"/>
  <c r="S97" i="6"/>
  <c r="R43" i="6"/>
  <c r="V42" i="6"/>
  <c r="W42" i="6"/>
  <c r="N42" i="6"/>
  <c r="AC42" i="6"/>
  <c r="AD42" i="6"/>
  <c r="R42" i="6"/>
  <c r="S42" i="6"/>
  <c r="V95" i="6"/>
  <c r="W95" i="6"/>
  <c r="V41" i="6"/>
  <c r="N95" i="6"/>
  <c r="AC95" i="6"/>
  <c r="AD95" i="6"/>
  <c r="N41" i="6"/>
  <c r="R95" i="6"/>
  <c r="AF95" i="6"/>
  <c r="AG95" i="6"/>
  <c r="R41" i="6"/>
  <c r="R94" i="6"/>
  <c r="S94" i="6"/>
  <c r="R40" i="6"/>
  <c r="V94" i="6"/>
  <c r="T94" i="6"/>
  <c r="V40" i="6"/>
  <c r="N94" i="6"/>
  <c r="AC94" i="6"/>
  <c r="AD94" i="6"/>
  <c r="N40" i="6"/>
  <c r="R91" i="6"/>
  <c r="S91" i="6"/>
  <c r="R39" i="6"/>
  <c r="V91" i="6"/>
  <c r="AI91" i="6"/>
  <c r="AJ91" i="6"/>
  <c r="V39" i="6"/>
  <c r="N91" i="6"/>
  <c r="O91" i="6"/>
  <c r="N39" i="6"/>
  <c r="N85" i="6"/>
  <c r="L85" i="6"/>
  <c r="N37" i="6"/>
  <c r="R89" i="6"/>
  <c r="P89" i="6"/>
  <c r="R38" i="6"/>
  <c r="R85" i="6"/>
  <c r="P85" i="6"/>
  <c r="R37" i="6"/>
  <c r="R81" i="6"/>
  <c r="P81" i="6"/>
  <c r="R36" i="6"/>
  <c r="N81" i="6"/>
  <c r="AC81" i="6"/>
  <c r="AD81" i="6"/>
  <c r="N36" i="6"/>
  <c r="V89" i="6"/>
  <c r="W89" i="6"/>
  <c r="V38" i="6"/>
  <c r="V85" i="6"/>
  <c r="T85" i="6"/>
  <c r="V37" i="6"/>
  <c r="N89" i="6"/>
  <c r="O89" i="6"/>
  <c r="N38" i="6"/>
  <c r="V81" i="6"/>
  <c r="AI81" i="6"/>
  <c r="AJ81" i="6"/>
  <c r="V36" i="6"/>
  <c r="V80" i="6"/>
  <c r="W80" i="6"/>
  <c r="V35" i="6"/>
  <c r="V79" i="6"/>
  <c r="T79" i="6"/>
  <c r="V34" i="6"/>
  <c r="N79" i="6"/>
  <c r="L79" i="6"/>
  <c r="N34" i="6"/>
  <c r="N80" i="6"/>
  <c r="AC80" i="6"/>
  <c r="AD80" i="6"/>
  <c r="N35" i="6"/>
  <c r="R80" i="6"/>
  <c r="S80" i="6"/>
  <c r="R35" i="6"/>
  <c r="R79" i="6"/>
  <c r="AF79" i="6"/>
  <c r="AG79" i="6"/>
  <c r="R34" i="6"/>
  <c r="V76" i="6"/>
  <c r="T76" i="6"/>
  <c r="V33" i="6"/>
  <c r="N76" i="6"/>
  <c r="L76" i="6"/>
  <c r="N33" i="6"/>
  <c r="R76" i="6"/>
  <c r="S76" i="6"/>
  <c r="R33" i="6"/>
  <c r="V67" i="6"/>
  <c r="W67" i="6"/>
  <c r="V32" i="6"/>
  <c r="R67" i="6"/>
  <c r="S67" i="6"/>
  <c r="R32" i="6"/>
  <c r="N67" i="6"/>
  <c r="L67" i="6"/>
  <c r="N32" i="6"/>
  <c r="V66" i="6"/>
  <c r="T66" i="6"/>
  <c r="V31" i="6"/>
  <c r="N66" i="6"/>
  <c r="AC66" i="6"/>
  <c r="AD66" i="6"/>
  <c r="N31" i="6"/>
  <c r="R66" i="6"/>
  <c r="P66" i="6"/>
  <c r="R31" i="6"/>
  <c r="R65" i="6"/>
  <c r="P65" i="6"/>
  <c r="R30" i="6"/>
  <c r="V65" i="6"/>
  <c r="W65" i="6"/>
  <c r="V30" i="6"/>
  <c r="N65" i="6"/>
  <c r="AC65" i="6"/>
  <c r="AD65" i="6"/>
  <c r="N30" i="6"/>
  <c r="N29" i="6"/>
  <c r="AC29" i="6"/>
  <c r="AD29" i="6"/>
  <c r="R29" i="6"/>
  <c r="S29" i="6"/>
  <c r="V27" i="6"/>
  <c r="AI27" i="6"/>
  <c r="AJ27" i="6"/>
  <c r="N27" i="6"/>
  <c r="O27" i="6"/>
  <c r="V25" i="6"/>
  <c r="AI25" i="6"/>
  <c r="AJ25" i="6"/>
  <c r="N25" i="6"/>
  <c r="AC25" i="6"/>
  <c r="AD25" i="6"/>
  <c r="N47" i="6"/>
  <c r="O47" i="6"/>
  <c r="N21" i="6"/>
  <c r="R51" i="6"/>
  <c r="AF51" i="6"/>
  <c r="AG51" i="6"/>
  <c r="R22" i="6"/>
  <c r="R47" i="6"/>
  <c r="S47" i="6"/>
  <c r="R21" i="6"/>
  <c r="V51" i="6"/>
  <c r="AI51" i="6"/>
  <c r="AJ51" i="6"/>
  <c r="V22" i="6"/>
  <c r="V47" i="6"/>
  <c r="AI47" i="6"/>
  <c r="AJ47" i="6"/>
  <c r="V21" i="6"/>
  <c r="N51" i="6"/>
  <c r="AC51" i="6"/>
  <c r="AD51" i="6"/>
  <c r="N22" i="6"/>
  <c r="N46" i="6"/>
  <c r="L46" i="6"/>
  <c r="N20" i="6"/>
  <c r="R46" i="6"/>
  <c r="S46" i="6"/>
  <c r="R20" i="6"/>
  <c r="V46" i="6"/>
  <c r="AI46" i="6"/>
  <c r="AJ46" i="6"/>
  <c r="V20" i="6"/>
  <c r="V28" i="6"/>
  <c r="T28" i="6"/>
  <c r="V17" i="6"/>
  <c r="N28" i="6"/>
  <c r="O28" i="6"/>
  <c r="N17" i="6"/>
  <c r="R28" i="6"/>
  <c r="AF28" i="6"/>
  <c r="AG28" i="6"/>
  <c r="R17" i="6"/>
  <c r="R26" i="6"/>
  <c r="AF26" i="6"/>
  <c r="AG26" i="6"/>
  <c r="R15" i="6"/>
  <c r="V26" i="6"/>
  <c r="AI26" i="6"/>
  <c r="AJ26" i="6"/>
  <c r="V15" i="6"/>
  <c r="N26" i="6"/>
  <c r="AC26" i="6"/>
  <c r="AD26" i="6"/>
  <c r="N15" i="6"/>
  <c r="N24" i="6"/>
  <c r="AC24" i="6"/>
  <c r="AD24" i="6"/>
  <c r="N13" i="6"/>
  <c r="R24" i="6"/>
  <c r="S24" i="6"/>
  <c r="R13" i="6"/>
  <c r="V24" i="6"/>
  <c r="W24" i="6"/>
  <c r="V13" i="6"/>
  <c r="N23" i="6"/>
  <c r="L23" i="6"/>
  <c r="N12" i="6"/>
  <c r="R23" i="6"/>
  <c r="P23" i="6"/>
  <c r="R12" i="6"/>
  <c r="V23" i="6"/>
  <c r="AI23" i="6"/>
  <c r="AJ23" i="6"/>
  <c r="V12" i="6"/>
  <c r="V19" i="6"/>
  <c r="AI19" i="6"/>
  <c r="AJ19" i="6"/>
  <c r="V11" i="6"/>
  <c r="N19" i="6"/>
  <c r="L19" i="6"/>
  <c r="N11" i="6"/>
  <c r="V14" i="6"/>
  <c r="W14" i="6"/>
  <c r="V8" i="6"/>
  <c r="N16" i="6"/>
  <c r="O16" i="6"/>
  <c r="N9" i="6"/>
  <c r="N14" i="6"/>
  <c r="AC14" i="6"/>
  <c r="AD14" i="6"/>
  <c r="N8" i="6"/>
  <c r="R19" i="6"/>
  <c r="P19" i="6"/>
  <c r="R11" i="6"/>
  <c r="R18" i="6"/>
  <c r="P18" i="6"/>
  <c r="R10" i="6"/>
  <c r="R14" i="6"/>
  <c r="AF14" i="6"/>
  <c r="AG14" i="6"/>
  <c r="R8" i="6"/>
  <c r="V18" i="6"/>
  <c r="W18" i="6"/>
  <c r="V10" i="6"/>
  <c r="V16" i="6"/>
  <c r="W16" i="6"/>
  <c r="V9" i="6"/>
  <c r="N18" i="6"/>
  <c r="O18" i="6"/>
  <c r="N10" i="6"/>
  <c r="R16" i="6"/>
  <c r="P16" i="6"/>
  <c r="R9" i="6"/>
  <c r="AC56" i="6"/>
  <c r="AD56" i="6"/>
  <c r="L56" i="6"/>
  <c r="O56" i="6"/>
  <c r="AI52" i="6"/>
  <c r="AJ52" i="6"/>
  <c r="T52" i="6"/>
  <c r="W52" i="6"/>
  <c r="AC54" i="6"/>
  <c r="AD54" i="6"/>
  <c r="O54" i="6"/>
  <c r="L54" i="6"/>
  <c r="AF62" i="6"/>
  <c r="AG62" i="6"/>
  <c r="P62" i="6"/>
  <c r="S62" i="6"/>
  <c r="AI102" i="6"/>
  <c r="AJ102" i="6"/>
  <c r="W102" i="6"/>
  <c r="T102" i="6"/>
  <c r="AC7" i="6"/>
  <c r="AD7" i="6"/>
  <c r="O7" i="6"/>
  <c r="L7" i="6"/>
  <c r="AI64" i="6"/>
  <c r="AJ64" i="6"/>
  <c r="T64" i="6"/>
  <c r="W64" i="6"/>
  <c r="AC102" i="6"/>
  <c r="AD102" i="6"/>
  <c r="L102" i="6"/>
  <c r="O102" i="6"/>
  <c r="S56" i="6"/>
  <c r="P56" i="6"/>
  <c r="AF56" i="6"/>
  <c r="AG56" i="6"/>
  <c r="AC64" i="6"/>
  <c r="AD64" i="6"/>
  <c r="O64" i="6"/>
  <c r="L64" i="6"/>
  <c r="AI62" i="6"/>
  <c r="AJ62" i="6"/>
  <c r="T62" i="6"/>
  <c r="W62" i="6"/>
  <c r="AF105" i="6"/>
  <c r="AG105" i="6"/>
  <c r="P105" i="6"/>
  <c r="S105" i="6"/>
  <c r="AF52" i="6"/>
  <c r="AG52" i="6"/>
  <c r="P52" i="6"/>
  <c r="S52" i="6"/>
  <c r="AF7" i="6"/>
  <c r="AG7" i="6"/>
  <c r="P7" i="6"/>
  <c r="S7" i="6"/>
  <c r="AI96" i="6"/>
  <c r="AJ96" i="6"/>
  <c r="W96" i="6"/>
  <c r="T96" i="6"/>
  <c r="AI61" i="6"/>
  <c r="AJ61" i="6"/>
  <c r="T61" i="6"/>
  <c r="W61" i="6"/>
  <c r="AC62" i="6"/>
  <c r="AD62" i="6"/>
  <c r="L62" i="6"/>
  <c r="O62" i="6"/>
  <c r="AF102" i="6"/>
  <c r="AG102" i="6"/>
  <c r="S102" i="6"/>
  <c r="P102" i="6"/>
  <c r="AI56" i="6"/>
  <c r="AJ56" i="6"/>
  <c r="W56" i="6"/>
  <c r="T56" i="6"/>
  <c r="AI105" i="6"/>
  <c r="AJ105" i="6"/>
  <c r="W105" i="6"/>
  <c r="T105" i="6"/>
  <c r="AI7" i="6"/>
  <c r="AJ7" i="6"/>
  <c r="T7" i="6"/>
  <c r="W7" i="6"/>
  <c r="AC105" i="6"/>
  <c r="AD105" i="6"/>
  <c r="L105" i="6"/>
  <c r="O105" i="6"/>
  <c r="AC52" i="6"/>
  <c r="AD52" i="6"/>
  <c r="L52" i="6"/>
  <c r="O52" i="6"/>
  <c r="AF96" i="6"/>
  <c r="AG96" i="6"/>
  <c r="P96" i="6"/>
  <c r="S96" i="6"/>
  <c r="AF61" i="6"/>
  <c r="AG61" i="6"/>
  <c r="S61" i="6"/>
  <c r="P61" i="6"/>
  <c r="AF54" i="6"/>
  <c r="AG54" i="6"/>
  <c r="S54" i="6"/>
  <c r="P54" i="6"/>
  <c r="AC96" i="6"/>
  <c r="AD96" i="6"/>
  <c r="O96" i="6"/>
  <c r="L96" i="6"/>
  <c r="AC61" i="6"/>
  <c r="AD61" i="6"/>
  <c r="L61" i="6"/>
  <c r="O61" i="6"/>
  <c r="S64" i="6"/>
  <c r="P64" i="6"/>
  <c r="AF64" i="6"/>
  <c r="AG64" i="6"/>
  <c r="T54" i="6"/>
  <c r="AI54" i="6"/>
  <c r="AJ54" i="6"/>
  <c r="W54" i="6"/>
  <c r="U8" i="11"/>
  <c r="AF63" i="6"/>
  <c r="AG63" i="6"/>
  <c r="AC63" i="6"/>
  <c r="AD63" i="6"/>
  <c r="L63" i="6"/>
  <c r="P27" i="6"/>
  <c r="S27" i="6"/>
  <c r="P63" i="6"/>
  <c r="T29" i="6"/>
  <c r="L42" i="6"/>
  <c r="W63" i="6"/>
  <c r="T63" i="6"/>
  <c r="T110" i="6"/>
  <c r="S25" i="6"/>
  <c r="AI29" i="6"/>
  <c r="AJ29" i="6"/>
  <c r="O42" i="6"/>
  <c r="AI110" i="6"/>
  <c r="AJ110" i="6"/>
  <c r="AF94" i="6"/>
  <c r="AG94" i="6"/>
  <c r="P25" i="6"/>
  <c r="L100" i="6"/>
  <c r="AF98" i="6"/>
  <c r="AG98" i="6"/>
  <c r="AI98" i="6"/>
  <c r="AJ98" i="6"/>
  <c r="W94" i="6"/>
  <c r="T91" i="6"/>
  <c r="S85" i="6"/>
  <c r="AF85" i="6"/>
  <c r="AG85" i="6"/>
  <c r="W100" i="6"/>
  <c r="P42" i="6"/>
  <c r="AI79" i="6"/>
  <c r="AJ79" i="6"/>
  <c r="T100" i="6"/>
  <c r="AF42" i="6"/>
  <c r="AG42" i="6"/>
  <c r="T97" i="6"/>
  <c r="AI97" i="6"/>
  <c r="AJ97" i="6"/>
  <c r="AI85" i="6"/>
  <c r="AJ85" i="6"/>
  <c r="P94" i="6"/>
  <c r="W91" i="6"/>
  <c r="T67" i="6"/>
  <c r="W85" i="6"/>
  <c r="W79" i="6"/>
  <c r="AC91" i="6"/>
  <c r="AD91" i="6"/>
  <c r="L91" i="6"/>
  <c r="L89" i="6"/>
  <c r="L29" i="6"/>
  <c r="O29" i="6"/>
  <c r="AF66" i="6"/>
  <c r="AG66" i="6"/>
  <c r="AC89" i="6"/>
  <c r="AD89" i="6"/>
  <c r="AI76" i="6"/>
  <c r="AJ76" i="6"/>
  <c r="W76" i="6"/>
  <c r="AI95" i="6"/>
  <c r="AJ95" i="6"/>
  <c r="AC79" i="6"/>
  <c r="AD79" i="6"/>
  <c r="T42" i="6"/>
  <c r="AI42" i="6"/>
  <c r="AJ42" i="6"/>
  <c r="O100" i="6"/>
  <c r="AF110" i="6"/>
  <c r="AG110" i="6"/>
  <c r="S110" i="6"/>
  <c r="T98" i="6"/>
  <c r="AI94" i="6"/>
  <c r="AJ94" i="6"/>
  <c r="S81" i="6"/>
  <c r="AF67" i="6"/>
  <c r="AG67" i="6"/>
  <c r="O79" i="6"/>
  <c r="S66" i="6"/>
  <c r="AF81" i="6"/>
  <c r="AG81" i="6"/>
  <c r="T95" i="6"/>
  <c r="P67" i="6"/>
  <c r="P79" i="6"/>
  <c r="S79" i="6"/>
  <c r="AI67" i="6"/>
  <c r="AJ67" i="6"/>
  <c r="AC98" i="6"/>
  <c r="AD98" i="6"/>
  <c r="L98" i="6"/>
  <c r="P98" i="6"/>
  <c r="O85" i="6"/>
  <c r="AC85" i="6"/>
  <c r="AD85" i="6"/>
  <c r="L94" i="6"/>
  <c r="AF91" i="6"/>
  <c r="AG91" i="6"/>
  <c r="L110" i="6"/>
  <c r="AC97" i="6"/>
  <c r="AD97" i="6"/>
  <c r="O110" i="6"/>
  <c r="L97" i="6"/>
  <c r="P95" i="6"/>
  <c r="O95" i="6"/>
  <c r="W66" i="6"/>
  <c r="L95" i="6"/>
  <c r="O94" i="6"/>
  <c r="AI89" i="6"/>
  <c r="AJ89" i="6"/>
  <c r="W81" i="6"/>
  <c r="L81" i="6"/>
  <c r="T81" i="6"/>
  <c r="O81" i="6"/>
  <c r="AF76" i="6"/>
  <c r="AG76" i="6"/>
  <c r="S89" i="6"/>
  <c r="AC48" i="6"/>
  <c r="AD48" i="6"/>
  <c r="L48" i="6"/>
  <c r="O48" i="6"/>
  <c r="AF80" i="6"/>
  <c r="AG80" i="6"/>
  <c r="P80" i="6"/>
  <c r="T80" i="6"/>
  <c r="P97" i="6"/>
  <c r="P91" i="6"/>
  <c r="S100" i="6"/>
  <c r="AF97" i="6"/>
  <c r="AG97" i="6"/>
  <c r="W48" i="6"/>
  <c r="AI48" i="6"/>
  <c r="AJ48" i="6"/>
  <c r="T48" i="6"/>
  <c r="S95" i="6"/>
  <c r="AI66" i="6"/>
  <c r="AJ66" i="6"/>
  <c r="AF89" i="6"/>
  <c r="AG89" i="6"/>
  <c r="AI80" i="6"/>
  <c r="AJ80" i="6"/>
  <c r="P100" i="6"/>
  <c r="S28" i="6"/>
  <c r="P76" i="6"/>
  <c r="T89" i="6"/>
  <c r="S48" i="6"/>
  <c r="P48" i="6"/>
  <c r="AF48" i="6"/>
  <c r="AG48" i="6"/>
  <c r="AI45" i="6"/>
  <c r="AJ45" i="6"/>
  <c r="W45" i="6"/>
  <c r="T45" i="6"/>
  <c r="AC45" i="6"/>
  <c r="AD45" i="6"/>
  <c r="O45" i="6"/>
  <c r="L45" i="6"/>
  <c r="S45" i="6"/>
  <c r="AF45" i="6"/>
  <c r="AG45" i="6"/>
  <c r="P45" i="6"/>
  <c r="AI44" i="6"/>
  <c r="AJ44" i="6"/>
  <c r="T44" i="6"/>
  <c r="W44" i="6"/>
  <c r="AF44" i="6"/>
  <c r="AG44" i="6"/>
  <c r="P44" i="6"/>
  <c r="S44" i="6"/>
  <c r="L44" i="6"/>
  <c r="AC44" i="6"/>
  <c r="AD44" i="6"/>
  <c r="O44" i="6"/>
  <c r="AF43" i="6"/>
  <c r="AG43" i="6"/>
  <c r="P43" i="6"/>
  <c r="S43" i="6"/>
  <c r="AC43" i="6"/>
  <c r="AD43" i="6"/>
  <c r="O43" i="6"/>
  <c r="L43" i="6"/>
  <c r="AI43" i="6"/>
  <c r="AJ43" i="6"/>
  <c r="T43" i="6"/>
  <c r="W43" i="6"/>
  <c r="W25" i="6"/>
  <c r="T51" i="6"/>
  <c r="AC67" i="6"/>
  <c r="AD67" i="6"/>
  <c r="T27" i="6"/>
  <c r="AF41" i="6"/>
  <c r="AG41" i="6"/>
  <c r="S41" i="6"/>
  <c r="P41" i="6"/>
  <c r="AC41" i="6"/>
  <c r="AD41" i="6"/>
  <c r="O41" i="6"/>
  <c r="L41" i="6"/>
  <c r="AI41" i="6"/>
  <c r="AJ41" i="6"/>
  <c r="T41" i="6"/>
  <c r="W41" i="6"/>
  <c r="AC40" i="6"/>
  <c r="AD40" i="6"/>
  <c r="O40" i="6"/>
  <c r="L40" i="6"/>
  <c r="W51" i="6"/>
  <c r="AF46" i="6"/>
  <c r="AG46" i="6"/>
  <c r="W40" i="6"/>
  <c r="T40" i="6"/>
  <c r="AI40" i="6"/>
  <c r="AJ40" i="6"/>
  <c r="AF40" i="6"/>
  <c r="AG40" i="6"/>
  <c r="P40" i="6"/>
  <c r="S40" i="6"/>
  <c r="AC76" i="6"/>
  <c r="AD76" i="6"/>
  <c r="O39" i="6"/>
  <c r="AC39" i="6"/>
  <c r="AD39" i="6"/>
  <c r="L39" i="6"/>
  <c r="O76" i="6"/>
  <c r="AF47" i="6"/>
  <c r="AG47" i="6"/>
  <c r="O67" i="6"/>
  <c r="AI39" i="6"/>
  <c r="AJ39" i="6"/>
  <c r="T39" i="6"/>
  <c r="W39" i="6"/>
  <c r="AF39" i="6"/>
  <c r="AG39" i="6"/>
  <c r="S39" i="6"/>
  <c r="P39" i="6"/>
  <c r="W27" i="6"/>
  <c r="AC38" i="6"/>
  <c r="AD38" i="6"/>
  <c r="O38" i="6"/>
  <c r="L38" i="6"/>
  <c r="AF36" i="6"/>
  <c r="AG36" i="6"/>
  <c r="S36" i="6"/>
  <c r="P36" i="6"/>
  <c r="W37" i="6"/>
  <c r="T37" i="6"/>
  <c r="AI37" i="6"/>
  <c r="AJ37" i="6"/>
  <c r="AF37" i="6"/>
  <c r="AG37" i="6"/>
  <c r="P37" i="6"/>
  <c r="S37" i="6"/>
  <c r="AI38" i="6"/>
  <c r="AJ38" i="6"/>
  <c r="W38" i="6"/>
  <c r="T38" i="6"/>
  <c r="AF38" i="6"/>
  <c r="AG38" i="6"/>
  <c r="P38" i="6"/>
  <c r="S38" i="6"/>
  <c r="AI36" i="6"/>
  <c r="AJ36" i="6"/>
  <c r="T36" i="6"/>
  <c r="W36" i="6"/>
  <c r="AC36" i="6"/>
  <c r="AD36" i="6"/>
  <c r="O36" i="6"/>
  <c r="L36" i="6"/>
  <c r="AC37" i="6"/>
  <c r="AD37" i="6"/>
  <c r="L37" i="6"/>
  <c r="O37" i="6"/>
  <c r="O35" i="6"/>
  <c r="AC35" i="6"/>
  <c r="AD35" i="6"/>
  <c r="L35" i="6"/>
  <c r="O46" i="6"/>
  <c r="AC34" i="6"/>
  <c r="AD34" i="6"/>
  <c r="O34" i="6"/>
  <c r="L34" i="6"/>
  <c r="O80" i="6"/>
  <c r="AC46" i="6"/>
  <c r="AD46" i="6"/>
  <c r="AF34" i="6"/>
  <c r="AG34" i="6"/>
  <c r="S34" i="6"/>
  <c r="P34" i="6"/>
  <c r="AI34" i="6"/>
  <c r="AJ34" i="6"/>
  <c r="T34" i="6"/>
  <c r="W34" i="6"/>
  <c r="L80" i="6"/>
  <c r="P47" i="6"/>
  <c r="AF65" i="6"/>
  <c r="AG65" i="6"/>
  <c r="P46" i="6"/>
  <c r="AF35" i="6"/>
  <c r="AG35" i="6"/>
  <c r="P35" i="6"/>
  <c r="S35" i="6"/>
  <c r="AI35" i="6"/>
  <c r="AJ35" i="6"/>
  <c r="T35" i="6"/>
  <c r="W35" i="6"/>
  <c r="S65" i="6"/>
  <c r="AF33" i="6"/>
  <c r="AG33" i="6"/>
  <c r="P33" i="6"/>
  <c r="S33" i="6"/>
  <c r="L66" i="6"/>
  <c r="O66" i="6"/>
  <c r="AC33" i="6"/>
  <c r="AD33" i="6"/>
  <c r="O33" i="6"/>
  <c r="L33" i="6"/>
  <c r="L65" i="6"/>
  <c r="O65" i="6"/>
  <c r="AI33" i="6"/>
  <c r="AJ33" i="6"/>
  <c r="W33" i="6"/>
  <c r="T33" i="6"/>
  <c r="W46" i="6"/>
  <c r="T46" i="6"/>
  <c r="AC32" i="6"/>
  <c r="AD32" i="6"/>
  <c r="O32" i="6"/>
  <c r="L32" i="6"/>
  <c r="AC47" i="6"/>
  <c r="AD47" i="6"/>
  <c r="AF32" i="6"/>
  <c r="AG32" i="6"/>
  <c r="S32" i="6"/>
  <c r="P32" i="6"/>
  <c r="L47" i="6"/>
  <c r="S26" i="6"/>
  <c r="T32" i="6"/>
  <c r="AI32" i="6"/>
  <c r="AJ32" i="6"/>
  <c r="W32" i="6"/>
  <c r="AF31" i="6"/>
  <c r="AG31" i="6"/>
  <c r="S31" i="6"/>
  <c r="P31" i="6"/>
  <c r="AC31" i="6"/>
  <c r="AD31" i="6"/>
  <c r="L31" i="6"/>
  <c r="O31" i="6"/>
  <c r="AI31" i="6"/>
  <c r="AJ31" i="6"/>
  <c r="T31" i="6"/>
  <c r="W31" i="6"/>
  <c r="AI65" i="6"/>
  <c r="AJ65" i="6"/>
  <c r="P28" i="6"/>
  <c r="T25" i="6"/>
  <c r="AC30" i="6"/>
  <c r="AD30" i="6"/>
  <c r="L30" i="6"/>
  <c r="O30" i="6"/>
  <c r="AI30" i="6"/>
  <c r="AJ30" i="6"/>
  <c r="T30" i="6"/>
  <c r="W30" i="6"/>
  <c r="T65" i="6"/>
  <c r="AF30" i="6"/>
  <c r="AG30" i="6"/>
  <c r="P30" i="6"/>
  <c r="S30" i="6"/>
  <c r="AC27" i="6"/>
  <c r="AD27" i="6"/>
  <c r="AF29" i="6"/>
  <c r="AG29" i="6"/>
  <c r="O25" i="6"/>
  <c r="P29" i="6"/>
  <c r="L25" i="6"/>
  <c r="L27" i="6"/>
  <c r="AI28" i="6"/>
  <c r="AJ28" i="6"/>
  <c r="O51" i="6"/>
  <c r="AI24" i="6"/>
  <c r="AJ24" i="6"/>
  <c r="S51" i="6"/>
  <c r="L51" i="6"/>
  <c r="T47" i="6"/>
  <c r="AI22" i="6"/>
  <c r="AJ22" i="6"/>
  <c r="W22" i="6"/>
  <c r="T22" i="6"/>
  <c r="T24" i="6"/>
  <c r="W28" i="6"/>
  <c r="P51" i="6"/>
  <c r="W47" i="6"/>
  <c r="S21" i="6"/>
  <c r="P21" i="6"/>
  <c r="AF21" i="6"/>
  <c r="AG21" i="6"/>
  <c r="AC22" i="6"/>
  <c r="AD22" i="6"/>
  <c r="O22" i="6"/>
  <c r="L22" i="6"/>
  <c r="AF22" i="6"/>
  <c r="AG22" i="6"/>
  <c r="P22" i="6"/>
  <c r="S22" i="6"/>
  <c r="AI21" i="6"/>
  <c r="AJ21" i="6"/>
  <c r="T21" i="6"/>
  <c r="W21" i="6"/>
  <c r="L21" i="6"/>
  <c r="O21" i="6"/>
  <c r="AC21" i="6"/>
  <c r="AD21" i="6"/>
  <c r="W20" i="6"/>
  <c r="AI20" i="6"/>
  <c r="AJ20" i="6"/>
  <c r="T20" i="6"/>
  <c r="L28" i="6"/>
  <c r="AC28" i="6"/>
  <c r="AD28" i="6"/>
  <c r="L26" i="6"/>
  <c r="W26" i="6"/>
  <c r="P20" i="6"/>
  <c r="AF20" i="6"/>
  <c r="AG20" i="6"/>
  <c r="S20" i="6"/>
  <c r="AC20" i="6"/>
  <c r="AD20" i="6"/>
  <c r="O20" i="6"/>
  <c r="L20" i="6"/>
  <c r="O24" i="6"/>
  <c r="O26" i="6"/>
  <c r="AF24" i="6"/>
  <c r="AG24" i="6"/>
  <c r="S17" i="6"/>
  <c r="AF17" i="6"/>
  <c r="AG17" i="6"/>
  <c r="P17" i="6"/>
  <c r="P24" i="6"/>
  <c r="W23" i="6"/>
  <c r="O17" i="6"/>
  <c r="L17" i="6"/>
  <c r="AC17" i="6"/>
  <c r="AD17" i="6"/>
  <c r="L16" i="6"/>
  <c r="T23" i="6"/>
  <c r="P26" i="6"/>
  <c r="AI17" i="6"/>
  <c r="AJ17" i="6"/>
  <c r="T17" i="6"/>
  <c r="W17" i="6"/>
  <c r="AI18" i="6"/>
  <c r="AJ18" i="6"/>
  <c r="T26" i="6"/>
  <c r="AC15" i="6"/>
  <c r="AD15" i="6"/>
  <c r="L15" i="6"/>
  <c r="O15" i="6"/>
  <c r="AI14" i="6"/>
  <c r="AJ14" i="6"/>
  <c r="AC18" i="6"/>
  <c r="AD18" i="6"/>
  <c r="AI15" i="6"/>
  <c r="AJ15" i="6"/>
  <c r="T15" i="6"/>
  <c r="W15" i="6"/>
  <c r="L18" i="6"/>
  <c r="S15" i="6"/>
  <c r="AF15" i="6"/>
  <c r="AG15" i="6"/>
  <c r="P15" i="6"/>
  <c r="AC19" i="6"/>
  <c r="AD19" i="6"/>
  <c r="AF19" i="6"/>
  <c r="AG19" i="6"/>
  <c r="S19" i="6"/>
  <c r="AI16" i="6"/>
  <c r="AJ16" i="6"/>
  <c r="T16" i="6"/>
  <c r="S23" i="6"/>
  <c r="AI13" i="6"/>
  <c r="AJ13" i="6"/>
  <c r="W13" i="6"/>
  <c r="T13" i="6"/>
  <c r="O23" i="6"/>
  <c r="L24" i="6"/>
  <c r="AF23" i="6"/>
  <c r="AG23" i="6"/>
  <c r="AC23" i="6"/>
  <c r="AD23" i="6"/>
  <c r="AF13" i="6"/>
  <c r="AG13" i="6"/>
  <c r="S13" i="6"/>
  <c r="P13" i="6"/>
  <c r="L13" i="6"/>
  <c r="AC13" i="6"/>
  <c r="AD13" i="6"/>
  <c r="O13" i="6"/>
  <c r="W12" i="6"/>
  <c r="AI12" i="6"/>
  <c r="AJ12" i="6"/>
  <c r="T12" i="6"/>
  <c r="O14" i="6"/>
  <c r="AF12" i="6"/>
  <c r="AG12" i="6"/>
  <c r="S12" i="6"/>
  <c r="P12" i="6"/>
  <c r="L14" i="6"/>
  <c r="T19" i="6"/>
  <c r="W19" i="6"/>
  <c r="T18" i="6"/>
  <c r="O12" i="6"/>
  <c r="L12" i="6"/>
  <c r="AC12" i="6"/>
  <c r="AD12" i="6"/>
  <c r="AC16" i="6"/>
  <c r="AD16" i="6"/>
  <c r="AF9" i="6"/>
  <c r="AG9" i="6"/>
  <c r="S9" i="6"/>
  <c r="P9" i="6"/>
  <c r="AF8" i="6"/>
  <c r="AG8" i="6"/>
  <c r="S8" i="6"/>
  <c r="P8" i="6"/>
  <c r="AF10" i="6"/>
  <c r="AG10" i="6"/>
  <c r="P10" i="6"/>
  <c r="S10" i="6"/>
  <c r="S18" i="6"/>
  <c r="AI9" i="6"/>
  <c r="AJ9" i="6"/>
  <c r="T9" i="6"/>
  <c r="W9" i="6"/>
  <c r="P11" i="6"/>
  <c r="S11" i="6"/>
  <c r="AF11" i="6"/>
  <c r="AG11" i="6"/>
  <c r="T14" i="6"/>
  <c r="S16" i="6"/>
  <c r="O19" i="6"/>
  <c r="P14" i="6"/>
  <c r="AF18" i="6"/>
  <c r="AG18" i="6"/>
  <c r="AI10" i="6"/>
  <c r="AJ10" i="6"/>
  <c r="W10" i="6"/>
  <c r="T10" i="6"/>
  <c r="AC8" i="6"/>
  <c r="AD8" i="6"/>
  <c r="L8" i="6"/>
  <c r="O8" i="6"/>
  <c r="AI11" i="6"/>
  <c r="AJ11" i="6"/>
  <c r="W11" i="6"/>
  <c r="T11" i="6"/>
  <c r="O9" i="6"/>
  <c r="L9" i="6"/>
  <c r="AC9" i="6"/>
  <c r="AD9" i="6"/>
  <c r="AC10" i="6"/>
  <c r="AD10" i="6"/>
  <c r="O10" i="6"/>
  <c r="L10" i="6"/>
  <c r="T8" i="6"/>
  <c r="AI8" i="6"/>
  <c r="AJ8" i="6"/>
  <c r="W8" i="6"/>
  <c r="AF16" i="6"/>
  <c r="AG16" i="6"/>
  <c r="AC11" i="6"/>
  <c r="AD11" i="6"/>
  <c r="L11" i="6"/>
  <c r="O11" i="6"/>
  <c r="S14" i="6"/>
  <c r="P11" i="12"/>
  <c r="P19" i="12"/>
  <c r="DU7" i="4"/>
  <c r="AC14" i="11"/>
  <c r="AD14" i="11"/>
  <c r="AE14" i="11"/>
  <c r="AF14" i="11"/>
  <c r="AG14" i="11"/>
  <c r="AH14" i="11"/>
  <c r="AI14" i="11"/>
  <c r="U6" i="6"/>
  <c r="Q6" i="6"/>
  <c r="M6" i="6"/>
  <c r="AO6" i="6"/>
  <c r="AO4" i="6"/>
  <c r="AB11" i="11"/>
  <c r="AA11" i="11"/>
  <c r="Z11" i="11"/>
  <c r="Y11" i="11"/>
  <c r="X11" i="11"/>
  <c r="W11" i="11"/>
  <c r="V11" i="11"/>
  <c r="U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AB8" i="11"/>
  <c r="AA8" i="11"/>
  <c r="Z8" i="11"/>
  <c r="Y8" i="11"/>
  <c r="X8" i="11"/>
  <c r="W8" i="11"/>
  <c r="V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AB5" i="11"/>
  <c r="AA5" i="11"/>
  <c r="Z5" i="11"/>
  <c r="Y5" i="11"/>
  <c r="X5" i="11"/>
  <c r="W5" i="11"/>
  <c r="V5" i="11"/>
  <c r="U5" i="11"/>
  <c r="T5" i="11"/>
  <c r="T14" i="11"/>
  <c r="S5" i="11"/>
  <c r="S14" i="11"/>
  <c r="R5" i="11"/>
  <c r="R14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AA14" i="11"/>
  <c r="Z14" i="11"/>
  <c r="AB14" i="11"/>
  <c r="Y14" i="11"/>
  <c r="B5" i="11"/>
  <c r="U4" i="6"/>
  <c r="AS6" i="6"/>
  <c r="AS4" i="6"/>
  <c r="Q4" i="6"/>
  <c r="AQ6" i="6"/>
  <c r="AQ4" i="6"/>
  <c r="M4" i="6"/>
  <c r="W14" i="11"/>
  <c r="X14" i="11"/>
  <c r="U14" i="11"/>
  <c r="V14" i="11"/>
  <c r="P14" i="11"/>
  <c r="Q14" i="11"/>
  <c r="N14" i="11"/>
  <c r="M14" i="11"/>
  <c r="L14" i="11"/>
  <c r="O14" i="11"/>
  <c r="DU12" i="4"/>
  <c r="Z11" i="6"/>
  <c r="X11" i="6"/>
  <c r="AA11" i="6"/>
  <c r="AH6" i="6"/>
  <c r="AE6" i="6"/>
  <c r="AB6" i="6"/>
  <c r="B24" i="8"/>
  <c r="F24" i="8"/>
  <c r="N6" i="6"/>
  <c r="R6" i="6"/>
  <c r="CF4" i="4"/>
  <c r="H2" i="4"/>
  <c r="H4" i="4"/>
  <c r="O6" i="6"/>
  <c r="CK2" i="4"/>
  <c r="DA2" i="4"/>
  <c r="M2" i="4"/>
  <c r="CS2" i="4"/>
  <c r="DI2" i="4"/>
  <c r="AK2" i="4"/>
  <c r="AC2" i="4"/>
  <c r="U2" i="4"/>
  <c r="AF6" i="6"/>
  <c r="AG6" i="6"/>
  <c r="AC6" i="6"/>
  <c r="AD6" i="6"/>
  <c r="B30" i="8"/>
  <c r="F30" i="8"/>
  <c r="B34" i="8"/>
  <c r="AH4" i="6"/>
  <c r="B35" i="8"/>
  <c r="B33" i="8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BM2" i="4"/>
  <c r="CM2" i="4"/>
  <c r="BD2" i="4"/>
  <c r="BT2" i="4"/>
  <c r="BW2" i="4"/>
  <c r="BH2" i="4"/>
  <c r="BO2" i="4"/>
  <c r="BA2" i="4"/>
  <c r="BI2" i="4"/>
  <c r="DE2" i="4"/>
  <c r="AT2" i="4"/>
  <c r="BB2" i="4"/>
  <c r="CP2" i="4"/>
  <c r="CX2" i="4"/>
  <c r="DF2" i="4"/>
  <c r="AU2" i="4"/>
  <c r="BS2" i="4"/>
  <c r="CU2" i="4"/>
  <c r="J2" i="4"/>
  <c r="V2" i="4"/>
  <c r="AD2" i="4"/>
  <c r="W2" i="4"/>
  <c r="AE2" i="4"/>
  <c r="CI2" i="4"/>
  <c r="CQ2" i="4"/>
  <c r="CY2" i="4"/>
  <c r="AF2" i="4"/>
  <c r="CJ2" i="4"/>
  <c r="CZ2" i="4"/>
  <c r="N2" i="4"/>
  <c r="P2" i="4"/>
  <c r="R2" i="4"/>
  <c r="Z2" i="4"/>
  <c r="AH2" i="4"/>
  <c r="CL2" i="4"/>
  <c r="CT2" i="4"/>
  <c r="X2" i="4"/>
  <c r="Q2" i="4"/>
  <c r="O2" i="4"/>
  <c r="Y2" i="4"/>
  <c r="K2" i="4"/>
  <c r="S2" i="4"/>
  <c r="AA2" i="4"/>
  <c r="AI2" i="4"/>
  <c r="AZ2" i="4"/>
  <c r="AL2" i="4"/>
  <c r="AG2" i="4"/>
  <c r="L2" i="4"/>
  <c r="T2" i="4"/>
  <c r="AB2" i="4"/>
  <c r="AJ2" i="4"/>
  <c r="CW2" i="4"/>
  <c r="BN2" i="4"/>
  <c r="BU2" i="4"/>
  <c r="CR2" i="4"/>
  <c r="DG2" i="4"/>
  <c r="BQ2" i="4"/>
  <c r="BG2" i="4"/>
  <c r="BV2" i="4"/>
  <c r="DH2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CN2" i="4"/>
  <c r="BX2" i="4"/>
  <c r="DB2" i="4"/>
  <c r="DJ2" i="4"/>
  <c r="CH2" i="4"/>
  <c r="BJ2" i="4"/>
  <c r="CG2" i="4"/>
  <c r="CV2" i="4"/>
  <c r="DC2" i="4"/>
  <c r="AV2" i="4"/>
  <c r="BC2" i="4"/>
  <c r="CO2" i="4"/>
  <c r="DD2" i="4"/>
  <c r="BL2" i="4"/>
  <c r="B18" i="8"/>
  <c r="F18" i="8"/>
  <c r="DU40" i="4"/>
  <c r="B17" i="8"/>
  <c r="F17" i="8"/>
  <c r="B22" i="8"/>
  <c r="F22" i="8"/>
  <c r="B6" i="8"/>
  <c r="F6" i="8"/>
  <c r="S6" i="6"/>
  <c r="Y6" i="6"/>
  <c r="AU6" i="6"/>
  <c r="AU4" i="6"/>
  <c r="B12" i="8"/>
  <c r="F12" i="8"/>
  <c r="B5" i="8"/>
  <c r="F5" i="8"/>
  <c r="B13" i="8"/>
  <c r="F13" i="8"/>
  <c r="B29" i="8"/>
  <c r="F29" i="8"/>
  <c r="DU20" i="4"/>
  <c r="DU17" i="4"/>
  <c r="DU32" i="4"/>
  <c r="DU8" i="4"/>
  <c r="Z7" i="6"/>
  <c r="DU25" i="4"/>
  <c r="Z54" i="6"/>
  <c r="DU48" i="4"/>
  <c r="Z105" i="6"/>
  <c r="DU41" i="4"/>
  <c r="B10" i="8"/>
  <c r="F10" i="8"/>
  <c r="B16" i="8"/>
  <c r="F16" i="8"/>
  <c r="B28" i="8"/>
  <c r="F28" i="8"/>
  <c r="DU46" i="4"/>
  <c r="DU29" i="4"/>
  <c r="DU21" i="4"/>
  <c r="DU9" i="4"/>
  <c r="DU11" i="4"/>
  <c r="DU22" i="4"/>
  <c r="DU23" i="4"/>
  <c r="DU26" i="4"/>
  <c r="Z56" i="6"/>
  <c r="DU35" i="4"/>
  <c r="B4" i="11"/>
  <c r="DU30" i="4"/>
  <c r="Z64" i="6"/>
  <c r="DU39" i="4"/>
  <c r="DU34" i="4"/>
  <c r="DU37" i="4"/>
  <c r="B10" i="11"/>
  <c r="DU10" i="4"/>
  <c r="DU49" i="4"/>
  <c r="DU27" i="4"/>
  <c r="Z61" i="6"/>
  <c r="DU38" i="4"/>
  <c r="DU45" i="4"/>
  <c r="DU19" i="4"/>
  <c r="DU36" i="4"/>
  <c r="DU47" i="4"/>
  <c r="Z102" i="6"/>
  <c r="DU31" i="4"/>
  <c r="DU42" i="4"/>
  <c r="DU18" i="4"/>
  <c r="DU33" i="4"/>
  <c r="V6" i="6"/>
  <c r="DU13" i="4"/>
  <c r="DU16" i="4"/>
  <c r="DU15" i="4"/>
  <c r="DU44" i="4"/>
  <c r="B7" i="11"/>
  <c r="L6" i="6"/>
  <c r="DU28" i="4"/>
  <c r="Z62" i="6"/>
  <c r="DU24" i="4"/>
  <c r="Z52" i="6"/>
  <c r="DU14" i="4"/>
  <c r="DU43" i="4"/>
  <c r="Z96" i="6"/>
  <c r="B4" i="8"/>
  <c r="F4" i="8"/>
  <c r="B11" i="8"/>
  <c r="F11" i="8"/>
  <c r="C30" i="8"/>
  <c r="G30" i="8"/>
  <c r="B23" i="8"/>
  <c r="AW2" i="4"/>
  <c r="BK2" i="4"/>
  <c r="CF2" i="4"/>
  <c r="AX2" i="4"/>
  <c r="AY2" i="4"/>
  <c r="BE2" i="4"/>
  <c r="BR2" i="4"/>
  <c r="I2" i="4"/>
  <c r="BF2" i="4"/>
  <c r="BP2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P6" i="6"/>
  <c r="C13" i="8"/>
  <c r="Z63" i="6"/>
  <c r="AL63" i="6"/>
  <c r="DU5" i="4"/>
  <c r="B13" i="11"/>
  <c r="Z25" i="6"/>
  <c r="AA25" i="6"/>
  <c r="Z29" i="6"/>
  <c r="AA29" i="6"/>
  <c r="Z110" i="6"/>
  <c r="X110" i="6"/>
  <c r="Z48" i="6"/>
  <c r="Z100" i="6"/>
  <c r="X100" i="6"/>
  <c r="Z45" i="6"/>
  <c r="Z98" i="6"/>
  <c r="X98" i="6"/>
  <c r="Z44" i="6"/>
  <c r="Z97" i="6"/>
  <c r="X97" i="6"/>
  <c r="Z43" i="6"/>
  <c r="Z95" i="6"/>
  <c r="X95" i="6"/>
  <c r="Z41" i="6"/>
  <c r="Z94" i="6"/>
  <c r="AA94" i="6"/>
  <c r="Z40" i="6"/>
  <c r="Z91" i="6"/>
  <c r="X91" i="6"/>
  <c r="Z39" i="6"/>
  <c r="Z81" i="6"/>
  <c r="X81" i="6"/>
  <c r="Z36" i="6"/>
  <c r="Z89" i="6"/>
  <c r="AL89" i="6"/>
  <c r="Z38" i="6"/>
  <c r="Z85" i="6"/>
  <c r="X85" i="6"/>
  <c r="Z37" i="6"/>
  <c r="Z80" i="6"/>
  <c r="AA80" i="6"/>
  <c r="Z35" i="6"/>
  <c r="Z79" i="6"/>
  <c r="AA79" i="6"/>
  <c r="Z34" i="6"/>
  <c r="Z76" i="6"/>
  <c r="AA76" i="6"/>
  <c r="Z33" i="6"/>
  <c r="Z67" i="6"/>
  <c r="X67" i="6"/>
  <c r="Z32" i="6"/>
  <c r="Z66" i="6"/>
  <c r="X66" i="6"/>
  <c r="Z31" i="6"/>
  <c r="Z65" i="6"/>
  <c r="X65" i="6"/>
  <c r="Z30" i="6"/>
  <c r="Z27" i="6"/>
  <c r="X27" i="6"/>
  <c r="Z51" i="6"/>
  <c r="AA51" i="6"/>
  <c r="Z22" i="6"/>
  <c r="Z47" i="6"/>
  <c r="AA47" i="6"/>
  <c r="Z21" i="6"/>
  <c r="Z46" i="6"/>
  <c r="X46" i="6"/>
  <c r="Z20" i="6"/>
  <c r="Z42" i="6"/>
  <c r="X42" i="6"/>
  <c r="Z19" i="6"/>
  <c r="Z28" i="6"/>
  <c r="AL28" i="6"/>
  <c r="Z17" i="6"/>
  <c r="Z26" i="6"/>
  <c r="AL26" i="6"/>
  <c r="Z15" i="6"/>
  <c r="Z24" i="6"/>
  <c r="AA24" i="6"/>
  <c r="Z13" i="6"/>
  <c r="Z23" i="6"/>
  <c r="AA23" i="6"/>
  <c r="Z12" i="6"/>
  <c r="Z18" i="6"/>
  <c r="AA18" i="6"/>
  <c r="Z10" i="6"/>
  <c r="Z14" i="6"/>
  <c r="AL14" i="6"/>
  <c r="Z8" i="6"/>
  <c r="Z16" i="6"/>
  <c r="X16" i="6"/>
  <c r="Z9" i="6"/>
  <c r="AA96" i="6"/>
  <c r="X96" i="6"/>
  <c r="X52" i="6"/>
  <c r="AA52" i="6"/>
  <c r="X105" i="6"/>
  <c r="AA105" i="6"/>
  <c r="X62" i="6"/>
  <c r="AA62" i="6"/>
  <c r="AA64" i="6"/>
  <c r="X64" i="6"/>
  <c r="X54" i="6"/>
  <c r="AA54" i="6"/>
  <c r="X7" i="6"/>
  <c r="AA7" i="6"/>
  <c r="X102" i="6"/>
  <c r="AA102" i="6"/>
  <c r="AA61" i="6"/>
  <c r="X61" i="6"/>
  <c r="X56" i="6"/>
  <c r="AA56" i="6"/>
  <c r="Y4" i="6"/>
  <c r="B7" i="8"/>
  <c r="F7" i="8"/>
  <c r="R4" i="6"/>
  <c r="P4" i="6"/>
  <c r="W6" i="6"/>
  <c r="W4" i="6"/>
  <c r="V4" i="6"/>
  <c r="T4" i="6"/>
  <c r="N4" i="6"/>
  <c r="L4" i="6"/>
  <c r="C33" i="8"/>
  <c r="G33" i="8"/>
  <c r="C17" i="8"/>
  <c r="D17" i="8"/>
  <c r="C24" i="8"/>
  <c r="G24" i="8"/>
  <c r="H24" i="8"/>
  <c r="AK110" i="6"/>
  <c r="AK52" i="6"/>
  <c r="AK61" i="6"/>
  <c r="AK89" i="6"/>
  <c r="AK81" i="6"/>
  <c r="AK79" i="6"/>
  <c r="AK67" i="6"/>
  <c r="AK7" i="6"/>
  <c r="AK105" i="6"/>
  <c r="AK66" i="6"/>
  <c r="AK65" i="6"/>
  <c r="AK76" i="6"/>
  <c r="AK18" i="6"/>
  <c r="AK54" i="6"/>
  <c r="AK56" i="6"/>
  <c r="AK23" i="6"/>
  <c r="AK63" i="6"/>
  <c r="AK42" i="6"/>
  <c r="AK97" i="6"/>
  <c r="AK96" i="6"/>
  <c r="AK26" i="6"/>
  <c r="AK19" i="6"/>
  <c r="AK47" i="6"/>
  <c r="AK29" i="6"/>
  <c r="AK62" i="6"/>
  <c r="AK51" i="6"/>
  <c r="AK24" i="6"/>
  <c r="AK94" i="6"/>
  <c r="AK102" i="6"/>
  <c r="AK28" i="6"/>
  <c r="AK85" i="6"/>
  <c r="AK46" i="6"/>
  <c r="AK25" i="6"/>
  <c r="AK16" i="6"/>
  <c r="AK27" i="6"/>
  <c r="AK14" i="6"/>
  <c r="AK100" i="6"/>
  <c r="AK98" i="6"/>
  <c r="AK64" i="6"/>
  <c r="AK6" i="6"/>
  <c r="C16" i="8"/>
  <c r="D16" i="8"/>
  <c r="AI6" i="6"/>
  <c r="AJ6" i="6"/>
  <c r="C34" i="8"/>
  <c r="G34" i="8"/>
  <c r="C35" i="8"/>
  <c r="G35" i="8"/>
  <c r="C23" i="8"/>
  <c r="G23" i="8"/>
  <c r="AK95" i="6"/>
  <c r="B36" i="8"/>
  <c r="F33" i="8"/>
  <c r="F35" i="8"/>
  <c r="F34" i="8"/>
  <c r="AL96" i="6"/>
  <c r="AL54" i="6"/>
  <c r="AL105" i="6"/>
  <c r="Z6" i="6"/>
  <c r="AL61" i="6"/>
  <c r="AL102" i="6"/>
  <c r="AL64" i="6"/>
  <c r="AL56" i="6"/>
  <c r="AL7" i="6"/>
  <c r="AL62" i="6"/>
  <c r="C29" i="8"/>
  <c r="G29" i="8"/>
  <c r="H29" i="8"/>
  <c r="C18" i="8"/>
  <c r="E18" i="8"/>
  <c r="C28" i="8"/>
  <c r="G28" i="8"/>
  <c r="H28" i="8"/>
  <c r="C22" i="8"/>
  <c r="G22" i="8"/>
  <c r="H22" i="8"/>
  <c r="B19" i="8"/>
  <c r="F19" i="8"/>
  <c r="C10" i="8"/>
  <c r="G10" i="8"/>
  <c r="H10" i="8"/>
  <c r="B25" i="8"/>
  <c r="F25" i="8"/>
  <c r="AK91" i="6"/>
  <c r="B31" i="8"/>
  <c r="H30" i="8"/>
  <c r="AE4" i="6"/>
  <c r="C11" i="8"/>
  <c r="E11" i="8"/>
  <c r="C12" i="8"/>
  <c r="T6" i="6"/>
  <c r="AK80" i="6"/>
  <c r="D30" i="8"/>
  <c r="E30" i="8"/>
  <c r="F23" i="8"/>
  <c r="E13" i="8"/>
  <c r="G13" i="8"/>
  <c r="H13" i="8"/>
  <c r="D13" i="8"/>
  <c r="X63" i="6"/>
  <c r="AA63" i="6"/>
  <c r="X25" i="6"/>
  <c r="AL25" i="6"/>
  <c r="AM25" i="6"/>
  <c r="X29" i="6"/>
  <c r="AL29" i="6"/>
  <c r="AM29" i="6"/>
  <c r="AA110" i="6"/>
  <c r="AL91" i="6"/>
  <c r="AM91" i="6"/>
  <c r="AA98" i="6"/>
  <c r="AL66" i="6"/>
  <c r="AM66" i="6"/>
  <c r="AL98" i="6"/>
  <c r="AM98" i="6"/>
  <c r="AL110" i="6"/>
  <c r="AM110" i="6"/>
  <c r="AL80" i="6"/>
  <c r="AM80" i="6"/>
  <c r="AL94" i="6"/>
  <c r="AM94" i="6"/>
  <c r="AA95" i="6"/>
  <c r="X80" i="6"/>
  <c r="AA91" i="6"/>
  <c r="AA85" i="6"/>
  <c r="AA100" i="6"/>
  <c r="AL100" i="6"/>
  <c r="AM100" i="6"/>
  <c r="X94" i="6"/>
  <c r="AA81" i="6"/>
  <c r="AL65" i="6"/>
  <c r="AM65" i="6"/>
  <c r="AA65" i="6"/>
  <c r="X79" i="6"/>
  <c r="AL79" i="6"/>
  <c r="AM79" i="6"/>
  <c r="AA97" i="6"/>
  <c r="AA48" i="6"/>
  <c r="X48" i="6"/>
  <c r="X89" i="6"/>
  <c r="X76" i="6"/>
  <c r="AA89" i="6"/>
  <c r="AL76" i="6"/>
  <c r="AM76" i="6"/>
  <c r="AA45" i="6"/>
  <c r="X45" i="6"/>
  <c r="AA27" i="6"/>
  <c r="AA44" i="6"/>
  <c r="X44" i="6"/>
  <c r="AA66" i="6"/>
  <c r="AA43" i="6"/>
  <c r="X43" i="6"/>
  <c r="AA41" i="6"/>
  <c r="X41" i="6"/>
  <c r="AA40" i="6"/>
  <c r="X40" i="6"/>
  <c r="AA39" i="6"/>
  <c r="X39" i="6"/>
  <c r="X37" i="6"/>
  <c r="AA37" i="6"/>
  <c r="AA38" i="6"/>
  <c r="X38" i="6"/>
  <c r="X36" i="6"/>
  <c r="AA36" i="6"/>
  <c r="AL67" i="6"/>
  <c r="AM67" i="6"/>
  <c r="AA34" i="6"/>
  <c r="X34" i="6"/>
  <c r="AA67" i="6"/>
  <c r="X35" i="6"/>
  <c r="AA35" i="6"/>
  <c r="AA33" i="6"/>
  <c r="X33" i="6"/>
  <c r="AL51" i="6"/>
  <c r="AM51" i="6"/>
  <c r="AL27" i="6"/>
  <c r="AM27" i="6"/>
  <c r="AA32" i="6"/>
  <c r="X32" i="6"/>
  <c r="AL47" i="6"/>
  <c r="AM47" i="6"/>
  <c r="X31" i="6"/>
  <c r="AA31" i="6"/>
  <c r="AA46" i="6"/>
  <c r="AA30" i="6"/>
  <c r="X30" i="6"/>
  <c r="AL46" i="6"/>
  <c r="AM46" i="6"/>
  <c r="AL42" i="6"/>
  <c r="AM42" i="6"/>
  <c r="AA42" i="6"/>
  <c r="X47" i="6"/>
  <c r="X51" i="6"/>
  <c r="X28" i="6"/>
  <c r="AA28" i="6"/>
  <c r="X21" i="6"/>
  <c r="AA21" i="6"/>
  <c r="AA22" i="6"/>
  <c r="X22" i="6"/>
  <c r="AA26" i="6"/>
  <c r="AA14" i="6"/>
  <c r="AA20" i="6"/>
  <c r="X20" i="6"/>
  <c r="X19" i="6"/>
  <c r="AA19" i="6"/>
  <c r="X14" i="6"/>
  <c r="X26" i="6"/>
  <c r="AL23" i="6"/>
  <c r="AM23" i="6"/>
  <c r="X17" i="6"/>
  <c r="AA17" i="6"/>
  <c r="X23" i="6"/>
  <c r="X15" i="6"/>
  <c r="AA15" i="6"/>
  <c r="AL24" i="6"/>
  <c r="AM24" i="6"/>
  <c r="X24" i="6"/>
  <c r="AL18" i="6"/>
  <c r="AM18" i="6"/>
  <c r="X18" i="6"/>
  <c r="X13" i="6"/>
  <c r="AA13" i="6"/>
  <c r="AA12" i="6"/>
  <c r="X12" i="6"/>
  <c r="AA9" i="6"/>
  <c r="X9" i="6"/>
  <c r="AA16" i="6"/>
  <c r="X8" i="6"/>
  <c r="AA8" i="6"/>
  <c r="AL16" i="6"/>
  <c r="AM16" i="6"/>
  <c r="AA10" i="6"/>
  <c r="X10" i="6"/>
  <c r="O4" i="6"/>
  <c r="S4" i="6"/>
  <c r="X6" i="6"/>
  <c r="Z4" i="6"/>
  <c r="X4" i="6"/>
  <c r="H33" i="8"/>
  <c r="E33" i="8"/>
  <c r="D33" i="8"/>
  <c r="E17" i="8"/>
  <c r="G17" i="8"/>
  <c r="H17" i="8"/>
  <c r="AM105" i="6"/>
  <c r="D24" i="8"/>
  <c r="E24" i="8"/>
  <c r="E16" i="8"/>
  <c r="AM62" i="6"/>
  <c r="AM89" i="6"/>
  <c r="E23" i="8"/>
  <c r="AM63" i="6"/>
  <c r="AM14" i="6"/>
  <c r="AM56" i="6"/>
  <c r="AM28" i="6"/>
  <c r="AM54" i="6"/>
  <c r="AM102" i="6"/>
  <c r="AM26" i="6"/>
  <c r="G16" i="8"/>
  <c r="H16" i="8"/>
  <c r="AM96" i="6"/>
  <c r="AM7" i="6"/>
  <c r="AM64" i="6"/>
  <c r="AM61" i="6"/>
  <c r="AA6" i="6"/>
  <c r="H34" i="8"/>
  <c r="H23" i="8"/>
  <c r="E34" i="8"/>
  <c r="D34" i="8"/>
  <c r="H35" i="8"/>
  <c r="E35" i="8"/>
  <c r="D35" i="8"/>
  <c r="D23" i="8"/>
  <c r="AB4" i="6"/>
  <c r="F36" i="8"/>
  <c r="AL95" i="6"/>
  <c r="AM95" i="6"/>
  <c r="C36" i="8"/>
  <c r="G36" i="8"/>
  <c r="C19" i="8"/>
  <c r="G19" i="8"/>
  <c r="H19" i="8"/>
  <c r="AL6" i="6"/>
  <c r="AM6" i="6"/>
  <c r="AL97" i="6"/>
  <c r="AM97" i="6"/>
  <c r="AL85" i="6"/>
  <c r="AM85" i="6"/>
  <c r="AL81" i="6"/>
  <c r="AM81" i="6"/>
  <c r="AL19" i="6"/>
  <c r="AM19" i="6"/>
  <c r="AL52" i="6"/>
  <c r="AM52" i="6"/>
  <c r="C25" i="8"/>
  <c r="G25" i="8"/>
  <c r="H25" i="8"/>
  <c r="C31" i="8"/>
  <c r="G31" i="8"/>
  <c r="G18" i="8"/>
  <c r="H18" i="8"/>
  <c r="D18" i="8"/>
  <c r="D29" i="8"/>
  <c r="E29" i="8"/>
  <c r="D28" i="8"/>
  <c r="E28" i="8"/>
  <c r="E22" i="8"/>
  <c r="D22" i="8"/>
  <c r="C6" i="8"/>
  <c r="D6" i="8"/>
  <c r="E10" i="8"/>
  <c r="C4" i="8"/>
  <c r="G4" i="8"/>
  <c r="H4" i="8"/>
  <c r="D10" i="8"/>
  <c r="F31" i="8"/>
  <c r="C5" i="8"/>
  <c r="D5" i="8"/>
  <c r="G12" i="8"/>
  <c r="H12" i="8"/>
  <c r="D12" i="8"/>
  <c r="E12" i="8"/>
  <c r="D11" i="8"/>
  <c r="G11" i="8"/>
  <c r="H11" i="8"/>
  <c r="AC4" i="6"/>
  <c r="AF4" i="6"/>
  <c r="AG4" i="6"/>
  <c r="AI4" i="6"/>
  <c r="AJ4" i="6"/>
  <c r="AA4" i="6"/>
  <c r="AD4" i="6"/>
  <c r="H36" i="8"/>
  <c r="E36" i="8"/>
  <c r="D36" i="8"/>
  <c r="D19" i="8"/>
  <c r="E19" i="8"/>
  <c r="D25" i="8"/>
  <c r="E25" i="8"/>
  <c r="C7" i="8"/>
  <c r="D7" i="8"/>
  <c r="D31" i="8"/>
  <c r="E31" i="8"/>
  <c r="H31" i="8"/>
  <c r="G6" i="8"/>
  <c r="H6" i="8"/>
  <c r="E6" i="8"/>
  <c r="E4" i="8"/>
  <c r="D4" i="8"/>
  <c r="G5" i="8"/>
  <c r="H5" i="8"/>
  <c r="E5" i="8"/>
  <c r="E7" i="8"/>
  <c r="G7" i="8"/>
  <c r="H7" i="8"/>
  <c r="AG6" i="11"/>
  <c r="AD6" i="11"/>
  <c r="AE6" i="11"/>
  <c r="N6" i="11"/>
  <c r="W6" i="11"/>
  <c r="V6" i="11"/>
  <c r="O6" i="11"/>
  <c r="X6" i="11"/>
  <c r="P6" i="11"/>
  <c r="Y6" i="11"/>
  <c r="M6" i="11"/>
  <c r="U6" i="11"/>
  <c r="AF6" i="11"/>
  <c r="R6" i="11"/>
  <c r="AI6" i="11"/>
  <c r="L6" i="11"/>
  <c r="S6" i="11"/>
  <c r="AH6" i="11"/>
  <c r="AC6" i="11"/>
  <c r="AB6" i="11"/>
  <c r="AA6" i="11"/>
  <c r="Z6" i="11"/>
  <c r="Q6" i="11"/>
  <c r="T6" i="11"/>
  <c r="AC9" i="11"/>
  <c r="AI9" i="11"/>
  <c r="T9" i="11"/>
  <c r="S9" i="11"/>
  <c r="AH9" i="11"/>
  <c r="Z9" i="11"/>
  <c r="R9" i="11"/>
  <c r="AG9" i="11"/>
  <c r="Y9" i="11"/>
  <c r="Q9" i="11"/>
  <c r="AB9" i="11"/>
  <c r="X9" i="11"/>
  <c r="AF9" i="11"/>
  <c r="W9" i="11"/>
  <c r="V9" i="11"/>
  <c r="L9" i="11"/>
  <c r="P9" i="11"/>
  <c r="AE9" i="11"/>
  <c r="O9" i="11"/>
  <c r="AD9" i="11"/>
  <c r="N9" i="11"/>
  <c r="U9" i="11"/>
  <c r="M9" i="11"/>
  <c r="AA9" i="11"/>
  <c r="U13" i="11"/>
  <c r="U15" i="11"/>
  <c r="U12" i="11"/>
  <c r="AI13" i="11"/>
  <c r="AI15" i="11"/>
  <c r="AI12" i="11"/>
  <c r="E13" i="11"/>
  <c r="W13" i="11"/>
  <c r="W15" i="11"/>
  <c r="W12" i="11"/>
  <c r="AG13" i="11"/>
  <c r="AG15" i="11"/>
  <c r="AG12" i="11"/>
  <c r="P13" i="11"/>
  <c r="P15" i="11"/>
  <c r="P12" i="11"/>
  <c r="AD13" i="11"/>
  <c r="AD15" i="11"/>
  <c r="AD12" i="11"/>
  <c r="V13" i="11"/>
  <c r="V15" i="11"/>
  <c r="V12" i="11"/>
  <c r="N13" i="11"/>
  <c r="N15" i="11"/>
  <c r="N12" i="11"/>
  <c r="F13" i="11"/>
  <c r="X13" i="11"/>
  <c r="X15" i="11"/>
  <c r="X12" i="11"/>
  <c r="AE13" i="11"/>
  <c r="AE15" i="11"/>
  <c r="AE12" i="11"/>
  <c r="AC13" i="11"/>
  <c r="AC15" i="11"/>
  <c r="AC12" i="11"/>
  <c r="M13" i="11"/>
  <c r="M15" i="11"/>
  <c r="M12" i="11"/>
  <c r="I13" i="11"/>
  <c r="O13" i="11"/>
  <c r="O15" i="11"/>
  <c r="O12" i="11"/>
  <c r="AB13" i="11"/>
  <c r="AB15" i="11"/>
  <c r="AB12" i="11"/>
  <c r="T15" i="11"/>
  <c r="T13" i="11"/>
  <c r="T12" i="11"/>
  <c r="L13" i="11"/>
  <c r="L15" i="11"/>
  <c r="L12" i="11"/>
  <c r="Y13" i="11"/>
  <c r="Y15" i="11"/>
  <c r="Y12" i="11"/>
  <c r="H13" i="11"/>
  <c r="AA13" i="11"/>
  <c r="AA15" i="11"/>
  <c r="AA12" i="11"/>
  <c r="S13" i="11"/>
  <c r="S15" i="11"/>
  <c r="S12" i="11"/>
  <c r="K13" i="11"/>
  <c r="Q13" i="11"/>
  <c r="Q15" i="11"/>
  <c r="Q12" i="11"/>
  <c r="AF13" i="11"/>
  <c r="AF15" i="11"/>
  <c r="AF12" i="11"/>
  <c r="G13" i="11"/>
  <c r="AH13" i="11"/>
  <c r="AH15" i="11"/>
  <c r="AH12" i="11"/>
  <c r="Z13" i="11"/>
  <c r="Z15" i="11"/>
  <c r="Z12" i="11"/>
  <c r="R13" i="11"/>
  <c r="R15" i="11"/>
  <c r="R12" i="11"/>
  <c r="J13" i="11"/>
  <c r="B8" i="11"/>
  <c r="H9" i="11"/>
  <c r="G9" i="11"/>
  <c r="I9" i="11"/>
  <c r="F9" i="11"/>
  <c r="E9" i="11"/>
  <c r="K9" i="11"/>
  <c r="J9" i="11"/>
  <c r="I6" i="11"/>
  <c r="K6" i="11"/>
  <c r="H6" i="11"/>
  <c r="F6" i="11"/>
  <c r="D4" i="11"/>
  <c r="C4" i="11"/>
  <c r="J6" i="11"/>
  <c r="G6" i="11"/>
  <c r="E6" i="11"/>
  <c r="B11" i="11"/>
  <c r="H12" i="11"/>
  <c r="J12" i="11"/>
  <c r="G12" i="11"/>
  <c r="I12" i="11"/>
  <c r="F12" i="11"/>
  <c r="K12" i="11"/>
  <c r="E12" i="11"/>
  <c r="H14" i="11"/>
  <c r="H15" i="11"/>
  <c r="I14" i="11"/>
  <c r="I15" i="11"/>
  <c r="F14" i="11"/>
  <c r="F15" i="11"/>
  <c r="J14" i="11"/>
  <c r="J15" i="11"/>
  <c r="E14" i="11"/>
  <c r="E15" i="11"/>
  <c r="G14" i="11"/>
  <c r="G15" i="11"/>
  <c r="K14" i="11"/>
  <c r="K15" i="11"/>
  <c r="D10" i="11"/>
  <c r="C10" i="11"/>
  <c r="C7" i="11"/>
  <c r="D7" i="11"/>
  <c r="B14" i="11"/>
  <c r="C13" i="11"/>
  <c r="D13" i="11"/>
  <c r="T21" i="11"/>
  <c r="T19" i="11"/>
  <c r="U21" i="11"/>
  <c r="U19" i="11"/>
  <c r="R19" i="11"/>
  <c r="R21" i="11"/>
  <c r="S19" i="11"/>
  <c r="S21" i="11"/>
  <c r="P19" i="11"/>
  <c r="P21" i="11"/>
  <c r="O21" i="11"/>
  <c r="O19" i="11"/>
  <c r="Q19" i="11"/>
  <c r="Q21" i="11"/>
  <c r="R20" i="11"/>
  <c r="S20" i="11"/>
  <c r="T20" i="11"/>
  <c r="U20" i="11"/>
  <c r="Q20" i="11"/>
  <c r="P20" i="11"/>
</calcChain>
</file>

<file path=xl/sharedStrings.xml><?xml version="1.0" encoding="utf-8"?>
<sst xmlns="http://schemas.openxmlformats.org/spreadsheetml/2006/main" count="3570" uniqueCount="558">
  <si>
    <t>LIDER</t>
  </si>
  <si>
    <t>IDPV</t>
  </si>
  <si>
    <t>NOMBRE_IDPV</t>
  </si>
  <si>
    <t>PLAZA</t>
  </si>
  <si>
    <t>CADENA</t>
  </si>
  <si>
    <t>Coppel</t>
  </si>
  <si>
    <t>COPPEL JUAREZ</t>
  </si>
  <si>
    <t>Elektra</t>
  </si>
  <si>
    <t>EKT MEXICALI VALLE PEDREGAL</t>
  </si>
  <si>
    <t>ELEKTRA INDEPENDENCIA LOS MOCHIS</t>
  </si>
  <si>
    <t>ELEKTRA HENEQUEN</t>
  </si>
  <si>
    <t>ELEKTRA DELICIAS</t>
  </si>
  <si>
    <t>MEGA</t>
  </si>
  <si>
    <t>MINI EKT Colima</t>
  </si>
  <si>
    <t>ELEKTRA Reyes Michoacan</t>
  </si>
  <si>
    <t>Mini EKT Queretaro Zaragoza</t>
  </si>
  <si>
    <t>MEGA PLAZA JACARANDAS IRAPUATO</t>
  </si>
  <si>
    <t>PACHUCA</t>
  </si>
  <si>
    <t>COPPEL PLAZA DEL VALLE (194)</t>
  </si>
  <si>
    <t>COPPEL-CANADA OCAMPO (574)</t>
  </si>
  <si>
    <t>COPPEL UNIVERSIDAD</t>
  </si>
  <si>
    <t>TULA DE ALLENDE</t>
  </si>
  <si>
    <t>COPPEL CARRANZA LA COLCHONERA</t>
  </si>
  <si>
    <t>TIZAYUCA</t>
  </si>
  <si>
    <t>COPPEL LAS VILLAS</t>
  </si>
  <si>
    <t>COPPEL PLAZA TULA</t>
  </si>
  <si>
    <t>COPPEL CANADA PLAZA BONITA</t>
  </si>
  <si>
    <t>ELEKTRA ACTOPAN HIDALGO</t>
  </si>
  <si>
    <t>ACTOPAN</t>
  </si>
  <si>
    <t>COPPEL CANADA TULA</t>
  </si>
  <si>
    <t>COPPEL REVOLUCIÓN</t>
  </si>
  <si>
    <t>COPPEL 21 DE MARZO</t>
  </si>
  <si>
    <t>COPPEL CANADA ACTOPAN</t>
  </si>
  <si>
    <t>COPPEL DEL ROSAL</t>
  </si>
  <si>
    <t>IXMIQUILPAN</t>
  </si>
  <si>
    <t>MIXQUIHUALA</t>
  </si>
  <si>
    <t>COPPEL  MADERO</t>
  </si>
  <si>
    <t>TLAXCOAPAN</t>
  </si>
  <si>
    <t>TULANCINGO DE BRAVO</t>
  </si>
  <si>
    <t>MINI ELEKTRA SAHAGUN</t>
  </si>
  <si>
    <t>CD SAHAGUN</t>
  </si>
  <si>
    <t>ELEKTRA TULANCINGO</t>
  </si>
  <si>
    <t>EKT TULA CALZADA</t>
  </si>
  <si>
    <t>AYUTLA DE LOS LIBRES</t>
  </si>
  <si>
    <t>COPPEL GRAN PATIO</t>
  </si>
  <si>
    <t>MEGA ELEKTRA AV. JUAREZ TIZAYUCA</t>
  </si>
  <si>
    <t>MEGA PLAZA LA JOYA PACHUCA</t>
  </si>
  <si>
    <t>Suburbia</t>
  </si>
  <si>
    <t>EKT Pitiyal</t>
  </si>
  <si>
    <t>EKT Cuauhtemoc</t>
  </si>
  <si>
    <t>EKT El Colli</t>
  </si>
  <si>
    <t>EKT Tala</t>
  </si>
  <si>
    <t>Ekt Jalisco Tesistan</t>
  </si>
  <si>
    <t>EKT Querertaro Plaza Zaragoza</t>
  </si>
  <si>
    <t>EKT Fresnillo</t>
  </si>
  <si>
    <t>EKT Ags Santa Anita</t>
  </si>
  <si>
    <t>Elektra Benito Juarez</t>
  </si>
  <si>
    <t>EKT Queretaro Reforma</t>
  </si>
  <si>
    <t>MINI EKT Paracho</t>
  </si>
  <si>
    <t>Mega Elektra Izamal</t>
  </si>
  <si>
    <t>Mini Elektra Calera</t>
  </si>
  <si>
    <t>Elektra Angel Flores Culiacán</t>
  </si>
  <si>
    <t>Elektra Zaragoza Los Mochis</t>
  </si>
  <si>
    <t>Elektra Conchi Mazatlán</t>
  </si>
  <si>
    <t>Elektra Pesqueira Navojoa</t>
  </si>
  <si>
    <t>Elektra Tierra Colorada (2205)</t>
  </si>
  <si>
    <t>EKT Vicente Santa Maria</t>
  </si>
  <si>
    <t>EKT Morelia Pedregal</t>
  </si>
  <si>
    <t>EKT Emilio Carranza</t>
  </si>
  <si>
    <t>EKT Independencia</t>
  </si>
  <si>
    <t>EKT Las Pintas (San Isidro)</t>
  </si>
  <si>
    <t>EKT Manzanillo</t>
  </si>
  <si>
    <t>EKT Mega Centro</t>
  </si>
  <si>
    <t>EKT Tonala</t>
  </si>
  <si>
    <t>EKT Anillo Periferico</t>
  </si>
  <si>
    <t>Mega Gdl Gob Curiel</t>
  </si>
  <si>
    <t>Ekt San Pedrito Tlaquepaque</t>
  </si>
  <si>
    <t>Mega G Polanco</t>
  </si>
  <si>
    <t>Ekt Guadalajara Rio Hondo</t>
  </si>
  <si>
    <t>EKT Silao</t>
  </si>
  <si>
    <t>MINI EKT Celaya Morelos</t>
  </si>
  <si>
    <t>EKT Irapuato Leandro Valle</t>
  </si>
  <si>
    <t>EKT Obelisco</t>
  </si>
  <si>
    <t>EKT Zacatecas Independencia</t>
  </si>
  <si>
    <t>EKT Abasolo</t>
  </si>
  <si>
    <t>EKT Comonfort</t>
  </si>
  <si>
    <t>EKT Zaragoza</t>
  </si>
  <si>
    <t>EKT Tecnologico</t>
  </si>
  <si>
    <t>MINI EKT Santa Rosa Jauregui</t>
  </si>
  <si>
    <t>MINI EKT Ezequiel Montes</t>
  </si>
  <si>
    <t>EKT Salvatierra</t>
  </si>
  <si>
    <t>EKT Tequisquiapan</t>
  </si>
  <si>
    <t>EKT Portal</t>
  </si>
  <si>
    <t>Elektra Atlixco I (2723)</t>
  </si>
  <si>
    <t>Elektra Poza Rica Ii (3638)</t>
  </si>
  <si>
    <t>Elektra Piedras Negras (4199)</t>
  </si>
  <si>
    <t>EKT Tezontepec de Aldama Hidalgo</t>
  </si>
  <si>
    <t>39 PPVV modif DI</t>
  </si>
  <si>
    <t>21 PPVV eliminados de cuota</t>
  </si>
  <si>
    <t>REYES ZARRABAL CRISTOPHER</t>
  </si>
  <si>
    <t>PREPAGO</t>
  </si>
  <si>
    <t>EKT TULIPANES (8290)</t>
  </si>
  <si>
    <t>ELEKTRA TULANCINGO CUAUHTEMOC</t>
  </si>
  <si>
    <t>ELEKTRA DIVERTI PLAZA (9376)</t>
  </si>
  <si>
    <t>ELEKTRA TLAXCOAPAN</t>
  </si>
  <si>
    <t>MEGA ELEKTRA CD SAHAGUN 2</t>
  </si>
  <si>
    <t>EKT MEGA ATITALAQUIA, HIDALGO</t>
  </si>
  <si>
    <t>SUBURBIA TULA PLAZA BOULEVARD (832)</t>
  </si>
  <si>
    <t>COPPEL CONSTITUCIÓN</t>
  </si>
  <si>
    <t>ELEKTRA PROGRESO HIDALGO</t>
  </si>
  <si>
    <t>COPPEL ZAPATA</t>
  </si>
  <si>
    <t>BA EKT TIZAYUCA</t>
  </si>
  <si>
    <t>SUBURBIA PACHUCA</t>
  </si>
  <si>
    <t>ELEKTRA TEPEJI DEL RIO</t>
  </si>
  <si>
    <t>EKT IXMIQUILPAN</t>
  </si>
  <si>
    <t>COPPEL PATIO TULANCINGO</t>
  </si>
  <si>
    <t>COPPEL PLAZA BELLA</t>
  </si>
  <si>
    <t>MEGA ELEKTRA 21 DE MARZO TULANCINGO</t>
  </si>
  <si>
    <t>COPPEL SAHAGUN</t>
  </si>
  <si>
    <t>COPPEL EXPLANADA</t>
  </si>
  <si>
    <t>SUBURBIA PLAZA TIZARA (TIZAYUCA)</t>
  </si>
  <si>
    <t>SB TULANCINGO PATIO</t>
  </si>
  <si>
    <t>SUPERVISOR</t>
  </si>
  <si>
    <t>BARRIENTOS CONTRERAS ILEANA</t>
  </si>
  <si>
    <t>HERNANDEZ HERNANDEZ KARINA</t>
  </si>
  <si>
    <t>DANIEL BENJAMIN MARQUEZ BACA</t>
  </si>
  <si>
    <t>VIRGINIA MIRANDA OSORIO</t>
  </si>
  <si>
    <t>JIOBANI MARIN BUENDIA BARCENAS</t>
  </si>
  <si>
    <t>PORTA</t>
  </si>
  <si>
    <t>TEMM</t>
  </si>
  <si>
    <t>Domingo</t>
  </si>
  <si>
    <t>Lunes</t>
  </si>
  <si>
    <t>Martes</t>
  </si>
  <si>
    <t>Miércoles</t>
  </si>
  <si>
    <t>Jueves</t>
  </si>
  <si>
    <t>Viernes</t>
  </si>
  <si>
    <t>Sábado</t>
  </si>
  <si>
    <t>AL DIA (SOLO ACTUALIZAR)</t>
  </si>
  <si>
    <t>GRAL</t>
  </si>
  <si>
    <t>PP VOZ</t>
  </si>
  <si>
    <t>2 gral</t>
  </si>
  <si>
    <t>1 gral</t>
  </si>
  <si>
    <t>3 gral</t>
  </si>
  <si>
    <t>4 gral</t>
  </si>
  <si>
    <t>5 gral</t>
  </si>
  <si>
    <t>6 gral</t>
  </si>
  <si>
    <t>7 gral</t>
  </si>
  <si>
    <t>8 gral</t>
  </si>
  <si>
    <t>9 gral</t>
  </si>
  <si>
    <t>10 gral</t>
  </si>
  <si>
    <t>11 gral</t>
  </si>
  <si>
    <t>12 gral</t>
  </si>
  <si>
    <t>13 gral</t>
  </si>
  <si>
    <t>14 gral</t>
  </si>
  <si>
    <t>15 gral</t>
  </si>
  <si>
    <t>16 gral</t>
  </si>
  <si>
    <t>17 gral</t>
  </si>
  <si>
    <t>18 gral</t>
  </si>
  <si>
    <t>19 gral</t>
  </si>
  <si>
    <t>20 gral</t>
  </si>
  <si>
    <t>21 gral</t>
  </si>
  <si>
    <t>22 gral</t>
  </si>
  <si>
    <t>23 gral</t>
  </si>
  <si>
    <t>24 gral</t>
  </si>
  <si>
    <t>25 gral</t>
  </si>
  <si>
    <t>26 gral</t>
  </si>
  <si>
    <t>27 gral</t>
  </si>
  <si>
    <t>28 gral</t>
  </si>
  <si>
    <t>29 gral</t>
  </si>
  <si>
    <t>30 gral</t>
  </si>
  <si>
    <t>31 gral</t>
  </si>
  <si>
    <t>1 temm</t>
  </si>
  <si>
    <t>2 temm</t>
  </si>
  <si>
    <t>3 temm</t>
  </si>
  <si>
    <t>4 temm</t>
  </si>
  <si>
    <t>5 temm</t>
  </si>
  <si>
    <t>6 temm</t>
  </si>
  <si>
    <t>7 temm</t>
  </si>
  <si>
    <t>8 temm</t>
  </si>
  <si>
    <t>9 temm</t>
  </si>
  <si>
    <t>10 temm</t>
  </si>
  <si>
    <t>11 temm</t>
  </si>
  <si>
    <t>12 temm</t>
  </si>
  <si>
    <t>13 temm</t>
  </si>
  <si>
    <t>14 temm</t>
  </si>
  <si>
    <t>15 temm</t>
  </si>
  <si>
    <t>16 temm</t>
  </si>
  <si>
    <t>17 temm</t>
  </si>
  <si>
    <t>18 temm</t>
  </si>
  <si>
    <t>19 temm</t>
  </si>
  <si>
    <t>20 temm</t>
  </si>
  <si>
    <t>21 temm</t>
  </si>
  <si>
    <t>22 temm</t>
  </si>
  <si>
    <t>23 temm</t>
  </si>
  <si>
    <t>24 temm</t>
  </si>
  <si>
    <t>25 temm</t>
  </si>
  <si>
    <t>26 temm</t>
  </si>
  <si>
    <t>27 temm</t>
  </si>
  <si>
    <t>28 temm</t>
  </si>
  <si>
    <t>29 temm</t>
  </si>
  <si>
    <t>30 temm</t>
  </si>
  <si>
    <t>31 temm</t>
  </si>
  <si>
    <t>1 porta</t>
  </si>
  <si>
    <t>2 porta</t>
  </si>
  <si>
    <t>3 porta</t>
  </si>
  <si>
    <t>4 porta</t>
  </si>
  <si>
    <t>5 porta</t>
  </si>
  <si>
    <t>6 porta</t>
  </si>
  <si>
    <t>7 porta</t>
  </si>
  <si>
    <t>8 porta</t>
  </si>
  <si>
    <t>9 porta</t>
  </si>
  <si>
    <t>10 porta</t>
  </si>
  <si>
    <t>11 porta</t>
  </si>
  <si>
    <t>12 porta</t>
  </si>
  <si>
    <t>13 porta</t>
  </si>
  <si>
    <t>14 porta</t>
  </si>
  <si>
    <t>15 porta</t>
  </si>
  <si>
    <t>16 porta</t>
  </si>
  <si>
    <t>17 porta</t>
  </si>
  <si>
    <t>18 porta</t>
  </si>
  <si>
    <t>19 porta</t>
  </si>
  <si>
    <t>20 porta</t>
  </si>
  <si>
    <t>21 porta</t>
  </si>
  <si>
    <t>22 porta</t>
  </si>
  <si>
    <t>23 porta</t>
  </si>
  <si>
    <t>24 porta</t>
  </si>
  <si>
    <t>25 porta</t>
  </si>
  <si>
    <t>26 porta</t>
  </si>
  <si>
    <t>27 porta</t>
  </si>
  <si>
    <t>28 porta</t>
  </si>
  <si>
    <t>29 porta</t>
  </si>
  <si>
    <t>30 porta</t>
  </si>
  <si>
    <t>31 porta</t>
  </si>
  <si>
    <t>TEMM14</t>
  </si>
  <si>
    <t>PORTA15</t>
  </si>
  <si>
    <t>Dia de la semana</t>
  </si>
  <si>
    <t>Cuota acumulada</t>
  </si>
  <si>
    <t>Cuota por dia</t>
  </si>
  <si>
    <t>Coppel Patio Tulancingo</t>
  </si>
  <si>
    <t>Sb Patio Tulancingo</t>
  </si>
  <si>
    <t>Coppel 21 de marzo</t>
  </si>
  <si>
    <t>Coppel Juarez</t>
  </si>
  <si>
    <t>Coppel Universidad</t>
  </si>
  <si>
    <t>Sb Plaza Tizara</t>
  </si>
  <si>
    <t>Coppel Plaza Bonita</t>
  </si>
  <si>
    <t>BA EKT Tizayuca</t>
  </si>
  <si>
    <t>Coppel Ocampo</t>
  </si>
  <si>
    <t>Coppel Carranza</t>
  </si>
  <si>
    <t>Coppel Plaza del Valle</t>
  </si>
  <si>
    <t>Coppel Gran Patio</t>
  </si>
  <si>
    <t>Coppel canada Actopan</t>
  </si>
  <si>
    <t>Ekt Mega Actopan</t>
  </si>
  <si>
    <t>Ekt Ixmiquilpan</t>
  </si>
  <si>
    <t>Coppel del Rosal</t>
  </si>
  <si>
    <t>Coppel Plaza Tula</t>
  </si>
  <si>
    <t>Sb Plaza Tula</t>
  </si>
  <si>
    <t>Ekt Divertiplaza</t>
  </si>
  <si>
    <t>Ekt Tula</t>
  </si>
  <si>
    <t>Ekt Tula Calzada</t>
  </si>
  <si>
    <t>Coppel canada Tula</t>
  </si>
  <si>
    <t>BA EKT Tizayuca 2</t>
  </si>
  <si>
    <t>EKT Mega Av Juarez Tizayuca</t>
  </si>
  <si>
    <t>Tienda Enfoque</t>
  </si>
  <si>
    <t>Accion</t>
  </si>
  <si>
    <t>ALTAS</t>
  </si>
  <si>
    <t>CUOTA</t>
  </si>
  <si>
    <t>ALCANCE</t>
  </si>
  <si>
    <t>TOTALES</t>
  </si>
  <si>
    <t>PORTABILIDAD</t>
  </si>
  <si>
    <t>PREPAGO VOZ</t>
  </si>
  <si>
    <t>Prod Total</t>
  </si>
  <si>
    <t>Prod Obj</t>
  </si>
  <si>
    <t>GAP</t>
  </si>
  <si>
    <t>PRODUCTIVIDAD TOTAL</t>
  </si>
  <si>
    <t>PRODUCTIVIDAD TEMM</t>
  </si>
  <si>
    <t>PRODUCTIVIDAD PORTA</t>
  </si>
  <si>
    <t>PRODUCTIVIDAD PREPAGO VOZ</t>
  </si>
  <si>
    <t>Tiendas en 0</t>
  </si>
  <si>
    <t>AVANCE AL DIA</t>
  </si>
  <si>
    <t>Cadena</t>
  </si>
  <si>
    <t>COPPEL</t>
  </si>
  <si>
    <t>ELEKTRA</t>
  </si>
  <si>
    <t>SUBURBIA</t>
  </si>
  <si>
    <t>altas totales</t>
  </si>
  <si>
    <t>temm</t>
  </si>
  <si>
    <t>porta</t>
  </si>
  <si>
    <t>pp voz</t>
  </si>
  <si>
    <t>altas</t>
  </si>
  <si>
    <t>cuota</t>
  </si>
  <si>
    <t>alcance</t>
  </si>
  <si>
    <t>produc</t>
  </si>
  <si>
    <t>obj</t>
  </si>
  <si>
    <t>gap</t>
  </si>
  <si>
    <t>dia</t>
  </si>
  <si>
    <t>PDV´s</t>
  </si>
  <si>
    <t>PALANCA</t>
  </si>
  <si>
    <t>MAXI FEST</t>
  </si>
  <si>
    <t>MOTOROLA</t>
  </si>
  <si>
    <t>OPPO</t>
  </si>
  <si>
    <t>PDVS</t>
  </si>
  <si>
    <t>Real</t>
  </si>
  <si>
    <t>10 PDVS</t>
  </si>
  <si>
    <t>CUOTA DIA</t>
  </si>
  <si>
    <t>DIA</t>
  </si>
  <si>
    <t>ESTATUS</t>
  </si>
  <si>
    <t>Nuevo promotor</t>
  </si>
  <si>
    <t>Pachuca de Soto</t>
  </si>
  <si>
    <t>Mineral de La Reforma</t>
  </si>
  <si>
    <t>Tizayuca</t>
  </si>
  <si>
    <t>Tula de Allende</t>
  </si>
  <si>
    <t>Actopan</t>
  </si>
  <si>
    <t>Elektra PROGRESO HIDALGO</t>
  </si>
  <si>
    <t>Ixmiquilpan</t>
  </si>
  <si>
    <t>Mixquiahuala de Juarez</t>
  </si>
  <si>
    <t>Tlaxcoapan</t>
  </si>
  <si>
    <t>Progreso de Obregon</t>
  </si>
  <si>
    <t>Suburbia Pachuca</t>
  </si>
  <si>
    <t>Elektra TEPEJI DEL RIO</t>
  </si>
  <si>
    <t>Ciudad de Fray Bernardino de Sahagun</t>
  </si>
  <si>
    <t>Tulancingo</t>
  </si>
  <si>
    <t>Tepeji Del Rio</t>
  </si>
  <si>
    <t>Cuautepec</t>
  </si>
  <si>
    <t>Atitalaquia</t>
  </si>
  <si>
    <t>Suburbia Tula Plaza Boulevard (832)</t>
  </si>
  <si>
    <t>Vacante</t>
  </si>
  <si>
    <t>S 1 - 5</t>
  </si>
  <si>
    <t>S 6 - 12</t>
  </si>
  <si>
    <t>S 13 - 19</t>
  </si>
  <si>
    <t>S 20 - 26</t>
  </si>
  <si>
    <t>S 27 - 30</t>
  </si>
  <si>
    <t>S</t>
  </si>
  <si>
    <t>S 1 - 52</t>
  </si>
  <si>
    <t>S 6 - 123</t>
  </si>
  <si>
    <t>S 13 - 194</t>
  </si>
  <si>
    <t>S 20 - 265</t>
  </si>
  <si>
    <t>S 27 - 306</t>
  </si>
  <si>
    <t>S7</t>
  </si>
  <si>
    <t>S 1 - 53</t>
  </si>
  <si>
    <t>S 6 - 124</t>
  </si>
  <si>
    <t>S 13 - 195</t>
  </si>
  <si>
    <t>S 20 - 266</t>
  </si>
  <si>
    <t>S 27 - 307</t>
  </si>
  <si>
    <t>S8</t>
  </si>
  <si>
    <t>Estable</t>
  </si>
  <si>
    <t>Categoria Palanca</t>
  </si>
  <si>
    <t>Arranque rapido</t>
  </si>
  <si>
    <t>Aumento de productividad</t>
  </si>
  <si>
    <t>Mejorar cobertura</t>
  </si>
  <si>
    <t>Motorola</t>
  </si>
  <si>
    <t>Oppo</t>
  </si>
  <si>
    <t>semana 1</t>
  </si>
  <si>
    <t>semana 2</t>
  </si>
  <si>
    <t>Total general</t>
  </si>
  <si>
    <t>NOMBRE PDV</t>
  </si>
  <si>
    <t>PROM ACTIVOS</t>
  </si>
  <si>
    <t>TIENDAS CUB</t>
  </si>
  <si>
    <t>AUTORIZADO</t>
  </si>
  <si>
    <t>PROM COB</t>
  </si>
  <si>
    <t>ALTAS PP VOZ</t>
  </si>
  <si>
    <t>CUOTA PP VOZ</t>
  </si>
  <si>
    <t>ALTAS PORTA</t>
  </si>
  <si>
    <t>CUOTA PORTA</t>
  </si>
  <si>
    <t>ALTAS TEMM</t>
  </si>
  <si>
    <t>CUOTA TEMM</t>
  </si>
  <si>
    <t>ALTAS TOTAL</t>
  </si>
  <si>
    <t>CUOTA TOTAL</t>
  </si>
  <si>
    <t>ALCANCE AL DIA</t>
  </si>
  <si>
    <t>ACUMULADO</t>
  </si>
  <si>
    <t>DOM</t>
  </si>
  <si>
    <t>SAB</t>
  </si>
  <si>
    <t>VIE</t>
  </si>
  <si>
    <t>JUE</t>
  </si>
  <si>
    <t>MIE</t>
  </si>
  <si>
    <t>MAR</t>
  </si>
  <si>
    <t>LUN</t>
  </si>
  <si>
    <t>TOTAL</t>
  </si>
  <si>
    <t>Supervisores de agencia, gerente y lideres</t>
  </si>
  <si>
    <t>Supervisores</t>
  </si>
  <si>
    <t>COBERTURA</t>
  </si>
  <si>
    <t>ASISTENCIA</t>
  </si>
  <si>
    <t>SIN CUBRIR</t>
  </si>
  <si>
    <t>%</t>
  </si>
  <si>
    <t>Tiendas criticas</t>
  </si>
  <si>
    <t>Mas de 100 dias Inv</t>
  </si>
  <si>
    <t>Pendiente</t>
  </si>
  <si>
    <t>Sabado</t>
  </si>
  <si>
    <t>Miercoles</t>
  </si>
  <si>
    <t>10 tiendas 90 al 100%</t>
  </si>
  <si>
    <t>COPPEL PILARES (TOL) (208)</t>
  </si>
  <si>
    <t>COPPEL-CANADA JUAREZ (582)</t>
  </si>
  <si>
    <t>COPPEL - JUAREZ II (64)</t>
  </si>
  <si>
    <t>COPPEL - 5 DE MAYO (159)</t>
  </si>
  <si>
    <t>SUBURBIA - METEPEC</t>
  </si>
  <si>
    <t>SUBURBIA - GRAN PLAZA</t>
  </si>
  <si>
    <t>COPPEL SENDERO</t>
  </si>
  <si>
    <t>COPPEL CANADA GUADALUPE VICTORIA</t>
  </si>
  <si>
    <t>COPPEL JUAREZ (IXTLAHUCA)</t>
  </si>
  <si>
    <t>COPPEL CANADA RAYÓN</t>
  </si>
  <si>
    <t>COPPEL PLAZA HIDALGO</t>
  </si>
  <si>
    <t>COPPEL ENRIQUEZ</t>
  </si>
  <si>
    <t>COPPEL TOTOLTEPEC</t>
  </si>
  <si>
    <t>COPPEL HIDALGO</t>
  </si>
  <si>
    <t>COPPEL CANADA REOLIN</t>
  </si>
  <si>
    <t>EKT JUAREZ</t>
  </si>
  <si>
    <t>EKT SAN MATEO</t>
  </si>
  <si>
    <t>EKT ZINACANTEPEC</t>
  </si>
  <si>
    <t>BA MEGA IXTLAHUACA</t>
  </si>
  <si>
    <t>EKT ADOLFO LOPEZ MATEOS</t>
  </si>
  <si>
    <t>EKT SANTIAGO TIANGUISTENGO</t>
  </si>
  <si>
    <t>EKT ATLACOMULCO (5306)</t>
  </si>
  <si>
    <t>COPPEL CANADA MORELOS (TIANGUISTENCO)</t>
  </si>
  <si>
    <t>EKT PLAZA LERMA</t>
  </si>
  <si>
    <t>COPPEL PLAZA SANTIN</t>
  </si>
  <si>
    <t>COPPEL 16 DE SEPTIEMBRE (ZINACANTEPEC)</t>
  </si>
  <si>
    <t>COPPEL PLAZA SAN FRANCISCO</t>
  </si>
  <si>
    <t>EKT SAN FELIPE DEL PROGRESO</t>
  </si>
  <si>
    <t>Coppel Nicolás Bravo Tianguistenco</t>
  </si>
  <si>
    <t>EKT SAN PEDRO TOTOLTEPEC</t>
  </si>
  <si>
    <t>EKT TOLUCA PLAZA SANTINI</t>
  </si>
  <si>
    <t>Suburbia Alfredo del Mazo</t>
  </si>
  <si>
    <t>ELEKTRA OCOYOACAC  EDO. MEX</t>
  </si>
  <si>
    <t>ELEKTRA MEGA TOLUCA MERCADO JUAREZ</t>
  </si>
  <si>
    <t>ELEKTRA MEGA TENANFO DEL VALLE</t>
  </si>
  <si>
    <t>EKT TEMOAYA EDO. MEXICO</t>
  </si>
  <si>
    <t>EKT Mega Valle De Bravo</t>
  </si>
  <si>
    <t>EKT MEGA TENANCINGO EDO DE MEX</t>
  </si>
  <si>
    <t>EKT XONACATLAN</t>
  </si>
  <si>
    <t>MINIEKT ALMOLOYA DE JUAREZ</t>
  </si>
  <si>
    <t>COPPEL TENANCINGO</t>
  </si>
  <si>
    <t>COPPEL CANADA INDEPENDENCIA</t>
  </si>
  <si>
    <t>COPPEL CANADA CARDENAS (1104)</t>
  </si>
  <si>
    <t>COPPEL -CANADACOLÓN</t>
  </si>
  <si>
    <t>COPPEL  VILLA GUERRERO</t>
  </si>
  <si>
    <t>COPPEL TOLLOACAN</t>
  </si>
  <si>
    <t>Coppel Nicolás Bravo Atlacomulco</t>
  </si>
  <si>
    <t>EKT ACAMBAY EDO DE MEX</t>
  </si>
  <si>
    <t>COPPEL OJUELOS</t>
  </si>
  <si>
    <t>EKT Villa Victoria</t>
  </si>
  <si>
    <t>MEGA ELEKTRA PLAZA LA PILA (METEPEC)</t>
  </si>
  <si>
    <t>COPPEL CANADA SOR JUANA</t>
  </si>
  <si>
    <t>SB ATLACOMULCO</t>
  </si>
  <si>
    <t>Sb Toluca Multiplaza Santin</t>
  </si>
  <si>
    <t>Coppel Atlacomulco</t>
  </si>
  <si>
    <t>Mega Elektra Malinalco</t>
  </si>
  <si>
    <t>COPPEL CALIMAYA</t>
  </si>
  <si>
    <t>COPPEL REFORMA TEMOAYA (7780)</t>
  </si>
  <si>
    <t>COPPEL XONACATLAN (7907)</t>
  </si>
  <si>
    <t>COPPEL VILLA VICTORIA (7911)</t>
  </si>
  <si>
    <t>COPPEL PANAMERICANA (7942)</t>
  </si>
  <si>
    <t>MEGA PLAZA MIA SANTIAGO T</t>
  </si>
  <si>
    <t>ERIK ALEJANDRO GARCIA</t>
  </si>
  <si>
    <t>EDGAR RAUL HERNANDEZ CERVANTES</t>
  </si>
  <si>
    <t>EDSON FERREYRA FFLORES</t>
  </si>
  <si>
    <t>JOSE JAEN OSORIO PAGUIA</t>
  </si>
  <si>
    <t xml:space="preserve">CALDERON GRACIAN ISRAEL </t>
  </si>
  <si>
    <t>SANCHEZ MEZA JOB</t>
  </si>
  <si>
    <t>CUEVAS OCAÑA ALMA ROSA</t>
  </si>
  <si>
    <t>GARCIA GUZMAN JESUS</t>
  </si>
  <si>
    <t>OLIVARES HUERTA LUIS FERNANDO</t>
  </si>
  <si>
    <t>Metepec</t>
  </si>
  <si>
    <t>Toluca de Lerdo</t>
  </si>
  <si>
    <t>Lerma</t>
  </si>
  <si>
    <t>Ocoyoacac</t>
  </si>
  <si>
    <t>Ixtlahuaca</t>
  </si>
  <si>
    <t>Tenango Del Valle</t>
  </si>
  <si>
    <t>San Mateo Atenco</t>
  </si>
  <si>
    <t>Zinacantepec</t>
  </si>
  <si>
    <t>Atlacomulco</t>
  </si>
  <si>
    <t>Tianguistenco</t>
  </si>
  <si>
    <t>San Felipe Del Progreso</t>
  </si>
  <si>
    <t>Almoloya de Juarez</t>
  </si>
  <si>
    <t>Temoaya</t>
  </si>
  <si>
    <t>Valle de Bravo</t>
  </si>
  <si>
    <t>Tenancingo</t>
  </si>
  <si>
    <t>Xonacatlan</t>
  </si>
  <si>
    <t>Ixtapan de La Sal</t>
  </si>
  <si>
    <t>Villa Victoria</t>
  </si>
  <si>
    <t>Villa Guerrero</t>
  </si>
  <si>
    <t>Acambay</t>
  </si>
  <si>
    <t>Malinalco</t>
  </si>
  <si>
    <t>Calimaya</t>
  </si>
  <si>
    <t>ESTADO</t>
  </si>
  <si>
    <t>HIDALGO</t>
  </si>
  <si>
    <t>TOLUCA</t>
  </si>
  <si>
    <t>REGISTROS FIELDWY</t>
  </si>
  <si>
    <t>DIAS SIN VENTA</t>
  </si>
  <si>
    <t>ID PDV</t>
  </si>
  <si>
    <t>Nombre PDV</t>
  </si>
  <si>
    <t>Di Atiende</t>
  </si>
  <si>
    <t>Nombre Atiende</t>
  </si>
  <si>
    <t>Di Propietario</t>
  </si>
  <si>
    <t>DN</t>
  </si>
  <si>
    <t>Canal</t>
  </si>
  <si>
    <t>Region</t>
  </si>
  <si>
    <t>Subdirector</t>
  </si>
  <si>
    <t>Lider Zonal</t>
  </si>
  <si>
    <t>Supervisor</t>
  </si>
  <si>
    <t>Usuario</t>
  </si>
  <si>
    <t>Nombre Usuario</t>
  </si>
  <si>
    <t>Rol de usuario</t>
  </si>
  <si>
    <t>EquipoClave</t>
  </si>
  <si>
    <t>EquipoClaveIndisegno</t>
  </si>
  <si>
    <t>Fecha registro</t>
  </si>
  <si>
    <t>Hora registro</t>
  </si>
  <si>
    <t>Folio</t>
  </si>
  <si>
    <t>ID Usuario</t>
  </si>
  <si>
    <t>Di Patrón</t>
  </si>
  <si>
    <t>Patrón</t>
  </si>
  <si>
    <t>Producto</t>
  </si>
  <si>
    <t>IMEI</t>
  </si>
  <si>
    <t>ICC</t>
  </si>
  <si>
    <t>Equipo TEMM</t>
  </si>
  <si>
    <t>Monto Recarga</t>
  </si>
  <si>
    <t>Costo Equipo</t>
  </si>
  <si>
    <t>Rango</t>
  </si>
  <si>
    <t>Observaciones</t>
  </si>
  <si>
    <t>Pos</t>
  </si>
  <si>
    <t>BAU Mayo</t>
  </si>
  <si>
    <t>Cantado Junio</t>
  </si>
  <si>
    <t>Cuota Junio</t>
  </si>
  <si>
    <t>Constr</t>
  </si>
  <si>
    <t>Diario Nec</t>
  </si>
  <si>
    <t>Diario Real</t>
  </si>
  <si>
    <t>Avance</t>
  </si>
  <si>
    <t>Proy</t>
  </si>
  <si>
    <t>RETAIL</t>
  </si>
  <si>
    <t>Temm</t>
  </si>
  <si>
    <t>Prepago</t>
  </si>
  <si>
    <t>Total</t>
  </si>
  <si>
    <t>Portabilidad</t>
  </si>
  <si>
    <t>Pospago</t>
  </si>
  <si>
    <t>Hidalgo</t>
  </si>
  <si>
    <t>Toluca</t>
  </si>
  <si>
    <t>Acción 1</t>
  </si>
  <si>
    <t>Acción 2</t>
  </si>
  <si>
    <t>Acción 3</t>
  </si>
  <si>
    <t>Responsable</t>
  </si>
  <si>
    <t>Altas</t>
  </si>
  <si>
    <t>Altas Obj</t>
  </si>
  <si>
    <t>Eventos en plazas secundarias en eventos futbolisticos, objetivo 2 eventos de 15 portas cada uno</t>
  </si>
  <si>
    <t>Cubrir 6 de las 8 vacantes actuales antes de la primer quincena del mes y sumar 3 altas x pdv a la semana</t>
  </si>
  <si>
    <t>Seguimiento a 10 pdvs a desarrollar mediante 2 visitas de supervisor, asegurar basicos (carpeta, share, inventario y realizar rollplay de venta) esperando 1 alta x tienda a la semana</t>
  </si>
  <si>
    <t>Apoyo en marcas (motorola y oppo) en 4 pdvs donde tendremos exhibiciones diferenciadas, apoyo de promotores y dinamicas para externos. Buscando 1 alta adicional x sem x promotor</t>
  </si>
  <si>
    <t>10 Pdvs 20 y 21 Jun</t>
  </si>
  <si>
    <t>Gestion con Marcas</t>
  </si>
  <si>
    <t>Estado</t>
  </si>
  <si>
    <t>Acompañamiento en Piso:3 visitas x supervisor en 10 tiendas foco para observar el abordaje del promotor y corregir técnicas de cierre al momento. Esperando minimo 1 alta por visita (1 alta x 3 visitas x 4 super x 10 tiendas</t>
  </si>
  <si>
    <t>Cubrir 2 de las 5 vacantes actuales antes de la primer quincena del mes y sumar 3 altas x pdv a la semana</t>
  </si>
  <si>
    <t>Gestion con circulo cálido (familiares, amigos y nuevos ingresos) en las primeras dos semanas y refuerzo de capacitación del producto buscando que el 30% de la fuerza de venta coloque un pospago acompañado de un incentivo de $50 por alta</t>
  </si>
  <si>
    <t>Enfoque a colocarlos en los equipos de mayor descuento, esperando minimo 10</t>
  </si>
  <si>
    <t>Enfoque a 10 tiendas coppel con gestion y colocacion de sim en equipo libre, minimo 2 x semana x tienda</t>
  </si>
  <si>
    <t>Día de portabilidad todos los jueves del mes: colocando obj x promotor (premios y sanciones con improductivos) con enfoque en tiendas con cero ventas y cubiertas</t>
  </si>
  <si>
    <t>Concurso mayor venta temm en tiendas con criticidad por vacante, nuevos promotores o baja productividad en la semana del 20 y 21 de junio (10 PPVV participan y el obj  es 2 adicionales</t>
  </si>
  <si>
    <t>Seguimiento a tiendas EKT para que esten en objetivo de .86 y posterior a .96</t>
  </si>
  <si>
    <t>Sem</t>
  </si>
  <si>
    <t>Enfoque a colocar los productos con los equipos de mayor descuento, esperando minimo 10 altas (tiendas top)</t>
  </si>
  <si>
    <t>Gestion con circulo cálido (familiares, amigos y nuevos ingresos) en las primeras dos semanas y refuerzo de capacitación acompañado de un incentivo de $50 al momento por parte de la agencia (pago día siguiente)</t>
  </si>
  <si>
    <t>CESAR GARRIDO BADILLO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</si>
</sst>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theme="5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</cellStyleXfs>
  <cellXfs count="15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/>
    <xf numFmtId="164" fontId="0" fillId="0" borderId="0" xfId="0" applyNumberFormat="1"/>
    <xf numFmtId="166" fontId="1" fillId="0" borderId="0" xfId="1" applyNumberFormat="1" applyFont="1"/>
    <xf numFmtId="166" fontId="0" fillId="0" borderId="0" xfId="0" applyNumberFormat="1"/>
    <xf numFmtId="9" fontId="0" fillId="0" borderId="0" xfId="2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0" fontId="2" fillId="7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0" fillId="8" borderId="0" xfId="0" applyFill="1"/>
    <xf numFmtId="0" fontId="0" fillId="9" borderId="0" xfId="0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6" fillId="10" borderId="0" xfId="0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/>
    </xf>
    <xf numFmtId="167" fontId="0" fillId="0" borderId="0" xfId="0" applyNumberFormat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left"/>
    </xf>
    <xf numFmtId="1" fontId="5" fillId="0" borderId="0" xfId="0" applyNumberFormat="1" applyFont="1"/>
    <xf numFmtId="1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8" fillId="0" borderId="0" xfId="0" applyFont="1"/>
    <xf numFmtId="2" fontId="1" fillId="0" borderId="0" xfId="0" applyNumberFormat="1" applyFont="1" applyAlignment="1">
      <alignment horizontal="center"/>
    </xf>
    <xf numFmtId="0" fontId="2" fillId="15" borderId="3" xfId="0" applyFont="1" applyFill="1" applyBorder="1" applyAlignment="1">
      <alignment horizontal="center"/>
    </xf>
    <xf numFmtId="9" fontId="5" fillId="0" borderId="0" xfId="2" applyFont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" fontId="0" fillId="0" borderId="2" xfId="2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4" borderId="1" xfId="0" applyFont="1" applyFill="1" applyBorder="1"/>
    <xf numFmtId="14" fontId="1" fillId="16" borderId="0" xfId="0" applyNumberFormat="1" applyFont="1" applyFill="1"/>
    <xf numFmtId="0" fontId="0" fillId="0" borderId="0" xfId="1" applyNumberFormat="1" applyFont="1"/>
    <xf numFmtId="14" fontId="1" fillId="18" borderId="0" xfId="0" applyNumberFormat="1" applyFont="1" applyFill="1"/>
    <xf numFmtId="1" fontId="12" fillId="0" borderId="0" xfId="0" applyNumberFormat="1" applyFont="1" applyAlignment="1">
      <alignment horizontal="right"/>
    </xf>
    <xf numFmtId="0" fontId="1" fillId="5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13" fillId="0" borderId="0" xfId="0" applyFont="1"/>
    <xf numFmtId="0" fontId="14" fillId="16" borderId="0" xfId="0" applyFont="1" applyFill="1" applyAlignment="1">
      <alignment horizontal="left"/>
    </xf>
    <xf numFmtId="0" fontId="14" fillId="1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9" fontId="1" fillId="0" borderId="2" xfId="2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13" borderId="2" xfId="0" applyFont="1" applyFill="1" applyBorder="1" applyAlignment="1">
      <alignment horizontal="left"/>
    </xf>
    <xf numFmtId="0" fontId="9" fillId="13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left"/>
    </xf>
    <xf numFmtId="0" fontId="9" fillId="11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left"/>
    </xf>
    <xf numFmtId="0" fontId="9" fillId="12" borderId="2" xfId="0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4" fillId="19" borderId="0" xfId="0" applyFont="1" applyFill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5" fillId="0" borderId="0" xfId="0" applyFont="1"/>
    <xf numFmtId="14" fontId="9" fillId="6" borderId="0" xfId="0" applyNumberFormat="1" applyFont="1" applyFill="1" applyAlignment="1">
      <alignment horizontal="center" vertical="center"/>
    </xf>
    <xf numFmtId="14" fontId="10" fillId="6" borderId="0" xfId="0" applyNumberFormat="1" applyFont="1" applyFill="1" applyAlignment="1">
      <alignment horizontal="center"/>
    </xf>
    <xf numFmtId="0" fontId="17" fillId="0" borderId="0" xfId="0" applyFont="1"/>
    <xf numFmtId="14" fontId="10" fillId="2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1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1" applyNumberFormat="1" applyFont="1" applyAlignment="1">
      <alignment horizontal="left"/>
    </xf>
    <xf numFmtId="0" fontId="2" fillId="27" borderId="4" xfId="0" applyFont="1" applyFill="1" applyBorder="1"/>
    <xf numFmtId="0" fontId="2" fillId="27" borderId="4" xfId="0" applyFont="1" applyFill="1" applyBorder="1" applyAlignment="1">
      <alignment horizontal="center"/>
    </xf>
    <xf numFmtId="14" fontId="2" fillId="27" borderId="0" xfId="0" applyNumberFormat="1" applyFont="1" applyFill="1"/>
    <xf numFmtId="0" fontId="14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19" fillId="0" borderId="0" xfId="0" applyFont="1" applyAlignment="1">
      <alignment horizontal="left"/>
    </xf>
    <xf numFmtId="0" fontId="20" fillId="8" borderId="0" xfId="0" applyFont="1" applyFill="1" applyAlignment="1">
      <alignment horizontal="center" vertical="center"/>
    </xf>
    <xf numFmtId="0" fontId="7" fillId="22" borderId="2" xfId="0" applyFont="1" applyFill="1" applyBorder="1" applyAlignment="1">
      <alignment horizontal="center" vertical="center" wrapText="1"/>
    </xf>
    <xf numFmtId="0" fontId="7" fillId="11" borderId="2" xfId="0" applyFont="1" applyFill="1" applyBorder="1"/>
    <xf numFmtId="0" fontId="7" fillId="12" borderId="2" xfId="0" applyFont="1" applyFill="1" applyBorder="1"/>
    <xf numFmtId="0" fontId="7" fillId="24" borderId="2" xfId="0" applyFont="1" applyFill="1" applyBorder="1"/>
    <xf numFmtId="0" fontId="7" fillId="23" borderId="2" xfId="0" applyFont="1" applyFill="1" applyBorder="1"/>
    <xf numFmtId="0" fontId="7" fillId="20" borderId="2" xfId="0" applyFont="1" applyFill="1" applyBorder="1"/>
    <xf numFmtId="9" fontId="1" fillId="0" borderId="6" xfId="2" applyFont="1" applyBorder="1" applyAlignment="1">
      <alignment horizontal="center"/>
    </xf>
    <xf numFmtId="0" fontId="7" fillId="0" borderId="2" xfId="0" applyFont="1" applyBorder="1"/>
    <xf numFmtId="9" fontId="7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21" borderId="2" xfId="0" applyFont="1" applyFill="1" applyBorder="1" applyAlignment="1">
      <alignment horizontal="center" vertical="center"/>
    </xf>
    <xf numFmtId="0" fontId="11" fillId="0" borderId="0" xfId="3"/>
    <xf numFmtId="9" fontId="21" fillId="28" borderId="7" xfId="2" applyFont="1" applyFill="1" applyBorder="1" applyAlignment="1">
      <alignment horizontal="center"/>
    </xf>
    <xf numFmtId="0" fontId="0" fillId="0" borderId="7" xfId="0" applyFont="1" applyBorder="1"/>
    <xf numFmtId="0" fontId="2" fillId="28" borderId="8" xfId="0" applyFont="1" applyFill="1" applyBorder="1" applyAlignment="1">
      <alignment horizontal="center" vertical="center" wrapText="1"/>
    </xf>
    <xf numFmtId="0" fontId="2" fillId="28" borderId="9" xfId="0" applyFont="1" applyFill="1" applyBorder="1" applyAlignment="1">
      <alignment horizontal="center" vertical="center" wrapText="1"/>
    </xf>
    <xf numFmtId="3" fontId="0" fillId="0" borderId="7" xfId="0" applyNumberFormat="1" applyFont="1" applyBorder="1" applyAlignment="1">
      <alignment horizontal="center" wrapText="1"/>
    </xf>
    <xf numFmtId="1" fontId="0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/>
    </xf>
    <xf numFmtId="9" fontId="3" fillId="0" borderId="7" xfId="2" applyFont="1" applyBorder="1" applyAlignment="1">
      <alignment horizontal="center"/>
    </xf>
    <xf numFmtId="0" fontId="22" fillId="28" borderId="7" xfId="0" applyFont="1" applyFill="1" applyBorder="1"/>
    <xf numFmtId="3" fontId="22" fillId="28" borderId="7" xfId="0" applyNumberFormat="1" applyFont="1" applyFill="1" applyBorder="1" applyAlignment="1">
      <alignment horizontal="center" wrapText="1"/>
    </xf>
    <xf numFmtId="9" fontId="0" fillId="0" borderId="0" xfId="2" applyFont="1"/>
    <xf numFmtId="166" fontId="22" fillId="28" borderId="7" xfId="1" applyNumberFormat="1" applyFont="1" applyFill="1" applyBorder="1"/>
    <xf numFmtId="0" fontId="22" fillId="28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1" applyNumberFormat="1" applyFont="1" applyBorder="1" applyAlignment="1">
      <alignment vertical="center"/>
    </xf>
    <xf numFmtId="0" fontId="0" fillId="0" borderId="7" xfId="0" applyFont="1" applyFill="1" applyBorder="1"/>
    <xf numFmtId="0" fontId="22" fillId="28" borderId="8" xfId="0" applyFont="1" applyFill="1" applyBorder="1" applyAlignment="1">
      <alignment horizontal="center" vertical="center"/>
    </xf>
    <xf numFmtId="0" fontId="22" fillId="28" borderId="8" xfId="0" applyFont="1" applyFill="1" applyBorder="1" applyAlignment="1">
      <alignment horizontal="center" vertical="center" wrapText="1"/>
    </xf>
    <xf numFmtId="0" fontId="22" fillId="28" borderId="6" xfId="0" applyFont="1" applyFill="1" applyBorder="1" applyAlignment="1">
      <alignment horizontal="center"/>
    </xf>
    <xf numFmtId="166" fontId="0" fillId="0" borderId="7" xfId="0" applyNumberFormat="1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16" fillId="5" borderId="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9" fontId="1" fillId="0" borderId="2" xfId="2" applyFont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0" fontId="1" fillId="0" borderId="2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6A0FEAE6-0766-4900-9751-316D189170A7}"/>
    <cellStyle name="Porcentaje" xfId="2" builtinId="5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center" vertical="bottom" textRotation="0" wrapText="0" indent="0" justifyLastLine="0" shrinkToFit="0" readingOrder="0"/>
    </dxf>
    <dxf>
      <numFmt numFmtId="166" formatCode="_-* #,##0_-;\-* #,##0_-;_-* &quot;-&quot;??_-;_-@_-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numFmt numFmtId="165" formatCode="_-* #,##0.0_-;\-* #,##0.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  <color rgb="FF00FF00"/>
      <color rgb="FF0D0DFF"/>
      <color rgb="FF66FFFF"/>
      <color rgb="FF0944FF"/>
      <color rgb="FFFF66FF"/>
      <color rgb="FFFDB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17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AD7053-3CB0-453C-84FC-257D98E17968}" name="Tabla2" displayName="Tabla2" ref="A6:DU112" totalsRowShown="0" headerRowDxfId="136">
  <autoFilter ref="A6:DU112" xr:uid="{189A05BC-9E66-42F3-A45D-68FE204605B3}">
    <filterColumn colId="1">
      <filters>
        <filter val="HIDALGO"/>
      </filters>
    </filterColumn>
  </autoFilter>
  <sortState xmlns:xlrd2="http://schemas.microsoft.com/office/spreadsheetml/2017/richdata2" ref="A7:DU112">
    <sortCondition ref="D6:D112"/>
  </sortState>
  <tableColumns count="125">
    <tableColumn id="1" xr3:uid="{212AB3C1-2B38-4534-A323-6364C3D7D4BD}" name="LIDER" dataDxfId="135"/>
    <tableColumn id="125" xr3:uid="{6764CA6E-2DE6-4AF1-9951-023A606E4C80}" name="ESTADO" dataDxfId="134"/>
    <tableColumn id="2" xr3:uid="{60D30EE1-1C5B-4203-BC73-DDBE75D852F5}" name="SUPERVISOR" dataDxfId="133"/>
    <tableColumn id="3" xr3:uid="{D1BE7B31-304C-4334-9B04-59E4E3A5420C}" name="IDPV"/>
    <tableColumn id="4" xr3:uid="{BED7C621-08DD-40D8-A28A-458A868B270D}" name="NOMBRE_IDPV"/>
    <tableColumn id="5" xr3:uid="{F7CCC641-A190-4F4D-B90B-1CA061CDF63B}" name="PLAZA"/>
    <tableColumn id="6" xr3:uid="{A1E1E458-1075-4B2D-8C4F-FFC759E08A18}" name="CADENA"/>
    <tableColumn id="7" xr3:uid="{39371DFA-234C-4889-81B5-9834E629C8BB}" name="1 porta" dataDxfId="132"/>
    <tableColumn id="8" xr3:uid="{4CA93F08-73E3-4D83-A05D-6FD95AB1E03F}" name="2 porta" dataDxfId="131"/>
    <tableColumn id="9" xr3:uid="{69CEAD56-C6CB-4648-A221-5A2A938E9F12}" name="3 porta" dataDxfId="130"/>
    <tableColumn id="10" xr3:uid="{44372217-3EAE-4F6F-8D6E-5DF5A79139CD}" name="4 porta" dataDxfId="129"/>
    <tableColumn id="11" xr3:uid="{9CBF412F-071E-4A98-B346-6BC0BA81C7DA}" name="5 porta" dataDxfId="128"/>
    <tableColumn id="12" xr3:uid="{BBE552DC-313F-4746-96A0-6F1AE213E3B9}" name="6 porta" dataDxfId="127"/>
    <tableColumn id="13" xr3:uid="{C9FD06E8-A972-4705-A3A9-4FFA40A2F5F0}" name="7 porta" dataDxfId="126"/>
    <tableColumn id="14" xr3:uid="{E3F2271C-1157-4614-8AB3-BD5136601FC7}" name="8 porta" dataDxfId="125"/>
    <tableColumn id="15" xr3:uid="{2F64C9B1-4D4F-43C9-B7EE-CC97D6D30EA0}" name="9 porta" dataDxfId="124"/>
    <tableColumn id="16" xr3:uid="{E0B6ED3B-418E-4EAC-A7E1-D0CE6C637E4D}" name="10 porta" dataDxfId="123"/>
    <tableColumn id="17" xr3:uid="{2AA84EBF-0755-4C70-BE7F-1BFD263DF211}" name="11 porta" dataDxfId="122"/>
    <tableColumn id="18" xr3:uid="{AD3D55B8-B5DA-42B0-9579-C80160A5C6EB}" name="12 porta" dataDxfId="121"/>
    <tableColumn id="19" xr3:uid="{B96F36C9-BD98-4B62-83C2-518C8A5A56D7}" name="13 porta" dataDxfId="120"/>
    <tableColumn id="20" xr3:uid="{C59C9F67-D6FC-4646-8A96-374BDC307A87}" name="14 porta" dataDxfId="119"/>
    <tableColumn id="21" xr3:uid="{D2024E1C-9EE9-4359-A3A3-AF5157AAAAE7}" name="15 porta" dataDxfId="118"/>
    <tableColumn id="22" xr3:uid="{4CEAC802-B6F6-4BCB-9FA3-9AA585D63719}" name="16 porta" dataDxfId="117"/>
    <tableColumn id="23" xr3:uid="{AF58DC2B-A3BC-4709-9107-B363A084425A}" name="17 porta" dataDxfId="116"/>
    <tableColumn id="24" xr3:uid="{BB885CFA-176A-41C9-B12F-6F4B0D2F1C70}" name="18 porta" dataDxfId="115"/>
    <tableColumn id="25" xr3:uid="{7F04B03B-9DE3-4CC0-A868-778B6A2AC573}" name="19 porta" dataDxfId="114"/>
    <tableColumn id="26" xr3:uid="{638CC44A-BB4C-4A68-92F5-DA5BBBBDD7EF}" name="20 porta" dataDxfId="113"/>
    <tableColumn id="27" xr3:uid="{C86F6E7C-4922-4654-9CED-A26CD2854143}" name="21 porta" dataDxfId="112"/>
    <tableColumn id="28" xr3:uid="{7F543880-777A-4856-A3B3-6418D0B1DACC}" name="22 porta" dataDxfId="111"/>
    <tableColumn id="29" xr3:uid="{9E3A34E8-BF87-4840-9332-B63BA0B697AF}" name="23 porta" dataDxfId="110"/>
    <tableColumn id="30" xr3:uid="{1D1AE8DD-6097-4C71-B5DA-D68C422256F4}" name="24 porta" dataDxfId="109"/>
    <tableColumn id="31" xr3:uid="{550CB250-9D80-4882-B12E-2E465CD3A590}" name="25 porta" dataDxfId="108"/>
    <tableColumn id="32" xr3:uid="{A2CCD454-E189-4F98-ACD2-4FD7ADAA0276}" name="26 porta" dataDxfId="107"/>
    <tableColumn id="33" xr3:uid="{20DE2515-31C6-4036-B872-1850DD401E71}" name="27 porta" dataDxfId="106"/>
    <tableColumn id="34" xr3:uid="{12575D07-E0C6-4F3E-8AFE-C35B6D2966FF}" name="28 porta" dataDxfId="105"/>
    <tableColumn id="35" xr3:uid="{826394B9-3302-4010-9046-06C324EA0947}" name="29 porta" dataDxfId="104"/>
    <tableColumn id="36" xr3:uid="{D360F758-8E72-4ED2-86C6-B5A42D027CB3}" name="30 porta" dataDxfId="103"/>
    <tableColumn id="37" xr3:uid="{75F4CF53-CBBA-4CBB-917C-847B51E7F1D1}" name="31 porta" dataDxfId="102"/>
    <tableColumn id="38" xr3:uid="{C10E690A-D9D7-4401-AC99-D2CE2F4DAA48}" name="S 1 - 5" dataDxfId="101"/>
    <tableColumn id="39" xr3:uid="{11579B48-EDF9-42EF-AE97-978F97992E8B}" name="S 6 - 12" dataDxfId="100"/>
    <tableColumn id="40" xr3:uid="{DDE2D27F-4DDE-4699-9F67-5791D79E6904}" name="S 13 - 19" dataDxfId="99"/>
    <tableColumn id="41" xr3:uid="{A735FBE3-8647-45DA-9B72-42FEA066437E}" name="S 20 - 26" dataDxfId="98"/>
    <tableColumn id="42" xr3:uid="{55FF4D0A-0E5B-458E-BFB0-9CF032DA08CC}" name="S 27 - 30" dataDxfId="97"/>
    <tableColumn id="43" xr3:uid="{3166FC9B-8B2B-483C-80FD-D4B3D35BF15B}" name="S" dataDxfId="96"/>
    <tableColumn id="44" xr3:uid="{4AB03B1D-3504-4313-892B-D016CB5C6532}" name="PORTA" dataDxfId="95"/>
    <tableColumn id="45" xr3:uid="{E3F10317-46E2-4266-97BB-5753AAC3ADEE}" name="1 temm" dataDxfId="94"/>
    <tableColumn id="46" xr3:uid="{3B9209FC-9BBD-4FF5-8548-F6C9ABDA7271}" name="2 temm" dataDxfId="93"/>
    <tableColumn id="47" xr3:uid="{C469F37A-2FBA-42DB-84E4-AB1DFA89E475}" name="3 temm" dataDxfId="92"/>
    <tableColumn id="48" xr3:uid="{B138B54F-294F-4445-BC2F-D73A3923F0BF}" name="4 temm" dataDxfId="91"/>
    <tableColumn id="49" xr3:uid="{B6E97F2D-A57A-4755-B4B9-4C29F67DFB0B}" name="5 temm" dataDxfId="90"/>
    <tableColumn id="50" xr3:uid="{C8F6899E-4C86-4379-88C1-DBB4A8F41ACB}" name="6 temm" dataDxfId="89"/>
    <tableColumn id="51" xr3:uid="{CCB44E0C-5BFC-4338-A338-4A3410DC24A4}" name="7 temm" dataDxfId="88"/>
    <tableColumn id="52" xr3:uid="{E3006E82-816E-4FBC-BDAD-1BFA56442AEC}" name="8 temm" dataDxfId="87"/>
    <tableColumn id="53" xr3:uid="{3A2D6CF3-A6CF-4BF4-B6B4-09962261A10D}" name="9 temm" dataDxfId="86"/>
    <tableColumn id="54" xr3:uid="{4B8C3A91-656D-4CEE-9B8C-837755C893E6}" name="10 temm" dataDxfId="85"/>
    <tableColumn id="55" xr3:uid="{9734A8EC-3B08-4567-B3AA-D8B905EDBDF2}" name="11 temm" dataDxfId="84"/>
    <tableColumn id="56" xr3:uid="{25769B92-EA1C-4F17-8AAA-37BF6445E1CE}" name="12 temm" dataDxfId="83"/>
    <tableColumn id="57" xr3:uid="{B644D21B-EA69-4B1E-867D-9CB6E726FB65}" name="13 temm" dataDxfId="82"/>
    <tableColumn id="58" xr3:uid="{8BA74342-D12C-4F9F-941B-DCADA2153DD1}" name="14 temm" dataDxfId="81"/>
    <tableColumn id="59" xr3:uid="{F9EA12C4-90F7-48C7-AB9E-C20909051CCA}" name="15 temm" dataDxfId="80"/>
    <tableColumn id="60" xr3:uid="{02AEE776-38E1-4DBB-A7BE-952E77526A4E}" name="16 temm" dataDxfId="79"/>
    <tableColumn id="61" xr3:uid="{D5170DDC-5F71-4380-B7AA-98DF5749C492}" name="17 temm" dataDxfId="78"/>
    <tableColumn id="62" xr3:uid="{C69AD56E-74DB-4376-83B5-976D84C5E74E}" name="18 temm" dataDxfId="77"/>
    <tableColumn id="63" xr3:uid="{E13EC525-17F0-474C-AD55-E8FAC63DE2C1}" name="19 temm" dataDxfId="76"/>
    <tableColumn id="64" xr3:uid="{69BA6252-6323-4947-9F3E-BEADED260F44}" name="20 temm" dataDxfId="75"/>
    <tableColumn id="65" xr3:uid="{50B91E2B-43C0-4908-8A6E-7D0876505F00}" name="21 temm" dataDxfId="74"/>
    <tableColumn id="66" xr3:uid="{55A172A5-59A0-4E6D-955E-672B6CAB3788}" name="22 temm" dataDxfId="73"/>
    <tableColumn id="67" xr3:uid="{19327B91-A1E6-412A-8C62-41ED5CC1847D}" name="23 temm" dataDxfId="72"/>
    <tableColumn id="68" xr3:uid="{B858F468-23CD-4771-BEE2-DA43153900CE}" name="24 temm" dataDxfId="71"/>
    <tableColumn id="69" xr3:uid="{40214A40-8B16-4AC1-815D-68ADF4995EF0}" name="25 temm" dataDxfId="70"/>
    <tableColumn id="70" xr3:uid="{7FD2D802-B269-4C0C-9DCF-D1AFD1D91076}" name="26 temm" dataDxfId="69"/>
    <tableColumn id="71" xr3:uid="{CD68916B-C9BE-4865-9F37-0DE583218424}" name="27 temm" dataDxfId="68"/>
    <tableColumn id="72" xr3:uid="{BA4512EC-1355-4138-A0C3-ED8CBCB6E98E}" name="28 temm" dataDxfId="67"/>
    <tableColumn id="73" xr3:uid="{D2CE3ECC-9448-4D8A-9F3F-98DE1E4081F5}" name="29 temm" dataDxfId="66"/>
    <tableColumn id="74" xr3:uid="{7395FB76-47AC-4578-BB40-2A332EA113D3}" name="30 temm" dataDxfId="65"/>
    <tableColumn id="75" xr3:uid="{37ED57C1-D57B-437A-ACAF-B25CF1CA7A15}" name="31 temm" dataDxfId="64"/>
    <tableColumn id="76" xr3:uid="{D6AEBEA7-C266-4465-A2CB-CEB9228E374D}" name="S 1 - 52" dataDxfId="63"/>
    <tableColumn id="77" xr3:uid="{F052C5EF-26D1-43C0-87EB-117A8592327B}" name="S 6 - 123" dataDxfId="62"/>
    <tableColumn id="78" xr3:uid="{C96F49C9-1E26-4F9A-96E1-25D1DAA2EABD}" name="S 13 - 194" dataDxfId="61"/>
    <tableColumn id="79" xr3:uid="{1B32DF3E-0C34-41F1-88B8-98570320346C}" name="S 20 - 265" dataDxfId="60"/>
    <tableColumn id="80" xr3:uid="{23CA5AA1-79B3-42C9-9834-D27477C3126F}" name="S 27 - 306" dataDxfId="59"/>
    <tableColumn id="81" xr3:uid="{38FAA71F-D1D1-422E-8205-E56F373159D5}" name="S7" dataDxfId="58"/>
    <tableColumn id="82" xr3:uid="{1400DA83-8CBA-4F1E-BAF0-9709ADC2FF45}" name="TEMM" dataDxfId="57"/>
    <tableColumn id="83" xr3:uid="{A8AA38B9-14E4-422C-82DA-44C7BF0EC15D}" name="1 gral" dataDxfId="56" dataCellStyle="Millares"/>
    <tableColumn id="84" xr3:uid="{8095872E-AFF1-4410-890E-346B577CDF51}" name="2 gral" dataDxfId="55" dataCellStyle="Millares"/>
    <tableColumn id="85" xr3:uid="{1D356AC0-8D55-4654-842A-CC0EC350216F}" name="3 gral" dataDxfId="54" dataCellStyle="Millares"/>
    <tableColumn id="86" xr3:uid="{4A4D039D-70FD-498C-8CD6-9A3CFE35FE2D}" name="4 gral" dataDxfId="53" dataCellStyle="Millares"/>
    <tableColumn id="87" xr3:uid="{6EB77406-5439-4413-A2FF-758A3136BC85}" name="5 gral" dataDxfId="52" dataCellStyle="Millares"/>
    <tableColumn id="88" xr3:uid="{B1C19034-F631-439C-A905-8EAF1E85DE1E}" name="6 gral" dataDxfId="51" dataCellStyle="Millares"/>
    <tableColumn id="89" xr3:uid="{D640BA2C-1D8D-43D9-A9DC-28C6B91C4C5B}" name="7 gral" dataDxfId="50" dataCellStyle="Millares"/>
    <tableColumn id="90" xr3:uid="{03CE06CC-24E0-4141-8B31-3DFFD16CE735}" name="8 gral" dataDxfId="49" dataCellStyle="Millares"/>
    <tableColumn id="91" xr3:uid="{53CDD75A-993F-4467-A939-1B276F14C8ED}" name="9 gral" dataDxfId="48" dataCellStyle="Millares"/>
    <tableColumn id="92" xr3:uid="{D19029D1-9892-4CA6-A707-2ECDB85226BC}" name="10 gral" dataDxfId="47" dataCellStyle="Millares"/>
    <tableColumn id="93" xr3:uid="{BC62541C-0464-43C5-AEDF-E0BD6DFFC144}" name="11 gral" dataDxfId="46" dataCellStyle="Millares"/>
    <tableColumn id="94" xr3:uid="{47CED0D4-958B-41AF-A5D5-1A22D573A698}" name="12 gral" dataDxfId="45" dataCellStyle="Millares"/>
    <tableColumn id="95" xr3:uid="{4E8DB514-7D9B-40CB-83C3-D096E60606D1}" name="13 gral" dataDxfId="44" dataCellStyle="Millares"/>
    <tableColumn id="96" xr3:uid="{247683C6-E996-4273-A680-A87C446C5A54}" name="14 gral" dataDxfId="43" dataCellStyle="Millares"/>
    <tableColumn id="97" xr3:uid="{85F4C289-D0FE-4C70-872C-426037EAB8E8}" name="15 gral" dataDxfId="42" dataCellStyle="Millares"/>
    <tableColumn id="98" xr3:uid="{CB526DE6-3E30-46EF-8099-A5F3EEEA579A}" name="16 gral" dataDxfId="41" dataCellStyle="Millares"/>
    <tableColumn id="99" xr3:uid="{C3390A02-37C6-4436-A236-AA90EF81420E}" name="17 gral" dataDxfId="40" dataCellStyle="Millares"/>
    <tableColumn id="100" xr3:uid="{A7398D3F-F4BA-4643-AAFB-2272669D1A0B}" name="18 gral" dataDxfId="39" dataCellStyle="Millares"/>
    <tableColumn id="101" xr3:uid="{603F42F1-160A-4F8B-B046-05843D1814C9}" name="19 gral" dataDxfId="38" dataCellStyle="Millares"/>
    <tableColumn id="102" xr3:uid="{99994E61-98A5-41DF-BE92-DFBE3B5BD11E}" name="20 gral" dataDxfId="37" dataCellStyle="Millares"/>
    <tableColumn id="103" xr3:uid="{F13DA655-61BA-4E86-A062-6F2A24DDFDC6}" name="21 gral" dataDxfId="36" dataCellStyle="Millares"/>
    <tableColumn id="104" xr3:uid="{E3E5520E-33BF-497D-AE71-8DBF041C14DE}" name="22 gral" dataDxfId="35" dataCellStyle="Millares"/>
    <tableColumn id="105" xr3:uid="{716207F0-F548-4E79-AFB3-86F17989F13F}" name="23 gral" dataDxfId="34" dataCellStyle="Millares"/>
    <tableColumn id="106" xr3:uid="{2E9386F7-82FC-4ADB-9007-B873E5D05FD4}" name="24 gral" dataDxfId="33" dataCellStyle="Millares"/>
    <tableColumn id="107" xr3:uid="{00C2B138-9081-4757-AFC1-0D7B38412818}" name="25 gral" dataDxfId="32" dataCellStyle="Millares"/>
    <tableColumn id="108" xr3:uid="{DCBE953D-29AC-4559-8880-D16D5700CDB3}" name="26 gral" dataDxfId="31" dataCellStyle="Millares"/>
    <tableColumn id="109" xr3:uid="{766B5F29-46C8-40E0-BF2A-37210637AB4E}" name="27 gral" dataDxfId="30" dataCellStyle="Millares"/>
    <tableColumn id="110" xr3:uid="{73E661B6-E90F-4611-9C53-B71B61FC7350}" name="28 gral" dataDxfId="29" dataCellStyle="Millares"/>
    <tableColumn id="111" xr3:uid="{4CB76D56-4709-472E-9A30-E2E0A44CF795}" name="29 gral" dataDxfId="28" dataCellStyle="Millares"/>
    <tableColumn id="112" xr3:uid="{21C9EEB6-B900-4572-A135-C52B0DAAA25A}" name="30 gral" dataDxfId="27" dataCellStyle="Millares"/>
    <tableColumn id="113" xr3:uid="{D25BF3BF-D796-4817-84A0-A00711344B3F}" name="31 gral" dataDxfId="26" dataCellStyle="Millares"/>
    <tableColumn id="114" xr3:uid="{D51E0082-6105-4BC5-BA5E-F07E9886C30E}" name="S 1 - 53" dataDxfId="25" dataCellStyle="Millares"/>
    <tableColumn id="115" xr3:uid="{B636AA45-16CC-44B9-B1B6-11A1C3AE8392}" name="S 6 - 124" dataDxfId="24" dataCellStyle="Millares"/>
    <tableColumn id="116" xr3:uid="{B084E5D7-A6B0-4A0A-BECD-E459DE65A5C2}" name="S 13 - 195" dataDxfId="23" dataCellStyle="Millares"/>
    <tableColumn id="117" xr3:uid="{B1BD9C51-BEC6-481F-9636-5870F842CE37}" name="S 20 - 266" dataDxfId="22" dataCellStyle="Millares"/>
    <tableColumn id="118" xr3:uid="{7E29C5EE-1A54-4649-B4DE-65127A593715}" name="S 27 - 307" dataDxfId="21" dataCellStyle="Millares"/>
    <tableColumn id="119" xr3:uid="{1755A296-3BF2-4228-88EB-03D9F4F49FA9}" name="S8" dataDxfId="20" dataCellStyle="Millares"/>
    <tableColumn id="120" xr3:uid="{27C0E380-FF40-4FCA-819F-7855375292E0}" name="PREPAGO" dataDxfId="19" dataCellStyle="Millares"/>
    <tableColumn id="121" xr3:uid="{A28D4765-133F-4759-BB7D-58EA15EA5180}" name="GRAL" dataDxfId="18">
      <calculatedColumnFormula>+SUM(Tabla2[[#This Row],[1 gral]:[1 gral]])</calculatedColumnFormula>
    </tableColumn>
    <tableColumn id="122" xr3:uid="{D41BD12B-90C1-4DAA-BF10-9C05CC496303}" name="TEMM14" dataDxfId="17">
      <calculatedColumnFormula>+SUM(Tabla2[[#This Row],[1 temm]:[1 temm]])</calculatedColumnFormula>
    </tableColumn>
    <tableColumn id="123" xr3:uid="{011D2960-DC8E-400F-BD86-F0F9E5CEAA26}" name="PORTA15" dataDxfId="16">
      <calculatedColumnFormula>+SUM(Tabla2[[#This Row],[1 porta]:[1 porta]])</calculatedColumnFormula>
    </tableColumn>
    <tableColumn id="124" xr3:uid="{32F29175-607F-49DE-B7C2-1687199005F5}" name="PP VOZ" dataDxfId="15">
      <calculatedColumnFormula>+Tabla2[[#This Row],[GRAL]]-(Tabla2[[#This Row],[TEMM14]]+Tabla2[[#This Row],[PORTA15]])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2FDD-A6AB-478C-B541-A4D28C85F24F}">
  <dimension ref="A2:J36"/>
  <sheetViews>
    <sheetView showGridLines="0" zoomScale="70" zoomScaleNormal="70" workbookViewId="0">
      <selection activeCell="D32" sqref="D32"/>
    </sheetView>
  </sheetViews>
  <sheetFormatPr defaultColWidth="10.76171875" defaultRowHeight="15" x14ac:dyDescent="0.2"/>
  <cols>
    <col min="1" max="1" width="11.296875" bestFit="1" customWidth="1"/>
    <col min="2" max="2" width="11.56640625" bestFit="1" customWidth="1"/>
  </cols>
  <sheetData>
    <row r="2" spans="1:10" x14ac:dyDescent="0.2">
      <c r="A2" t="s">
        <v>350</v>
      </c>
    </row>
    <row r="3" spans="1:10" x14ac:dyDescent="0.2">
      <c r="A3" s="39" t="s">
        <v>138</v>
      </c>
      <c r="B3" s="39" t="s">
        <v>129</v>
      </c>
      <c r="C3" s="39" t="s">
        <v>302</v>
      </c>
      <c r="D3" s="39" t="s">
        <v>289</v>
      </c>
      <c r="E3" s="39" t="s">
        <v>272</v>
      </c>
      <c r="F3" s="39" t="s">
        <v>290</v>
      </c>
      <c r="G3" s="39" t="s">
        <v>291</v>
      </c>
      <c r="H3" s="39" t="s">
        <v>292</v>
      </c>
      <c r="I3" s="41"/>
    </row>
    <row r="4" spans="1:10" x14ac:dyDescent="0.2">
      <c r="A4" s="34" t="s">
        <v>283</v>
      </c>
      <c r="B4" s="35">
        <f>+'Seg Diario'!M4</f>
        <v>0</v>
      </c>
      <c r="C4" s="35">
        <f>+'Seg Diario'!N4</f>
        <v>79.469291068473609</v>
      </c>
      <c r="D4" s="36">
        <f>+B4/C4</f>
        <v>0</v>
      </c>
      <c r="E4" s="37">
        <f>+B4-C4</f>
        <v>-79.469291068473609</v>
      </c>
      <c r="F4" s="38">
        <f>+B4/J4/46</f>
        <v>0</v>
      </c>
      <c r="G4" s="38">
        <f>+C4/J4/J5</f>
        <v>0.20534700534489303</v>
      </c>
      <c r="H4" s="38">
        <f>+F4-G4</f>
        <v>-0.20534700534489303</v>
      </c>
      <c r="I4" s="38" t="s">
        <v>293</v>
      </c>
      <c r="J4" s="40">
        <v>9</v>
      </c>
    </row>
    <row r="5" spans="1:10" x14ac:dyDescent="0.2">
      <c r="A5" s="34" t="s">
        <v>284</v>
      </c>
      <c r="B5" s="35">
        <f>+'Seg Diario'!Q4</f>
        <v>496</v>
      </c>
      <c r="C5" s="35">
        <f>+'Seg Diario'!R4</f>
        <v>39.826684206244096</v>
      </c>
      <c r="D5" s="36">
        <f t="shared" ref="D5:D7" si="0">+B5/C5</f>
        <v>12.453961706464037</v>
      </c>
      <c r="E5" s="37">
        <f t="shared" ref="E5:E7" si="1">+B5-C5</f>
        <v>456.17331579375593</v>
      </c>
      <c r="F5" s="38">
        <f>+B5/J4/J5</f>
        <v>1.281653746770026</v>
      </c>
      <c r="G5" s="38">
        <f>+C5/J4/J5</f>
        <v>0.10291132869830516</v>
      </c>
      <c r="H5" s="38">
        <f t="shared" ref="H5:H7" si="2">+F5-G5</f>
        <v>1.1787424180717208</v>
      </c>
      <c r="I5" s="38" t="s">
        <v>294</v>
      </c>
      <c r="J5" s="40">
        <v>43</v>
      </c>
    </row>
    <row r="6" spans="1:10" x14ac:dyDescent="0.2">
      <c r="A6" s="34" t="s">
        <v>285</v>
      </c>
      <c r="B6" s="34">
        <f>+'Seg Diario'!U4</f>
        <v>0</v>
      </c>
      <c r="C6" s="35">
        <f>+'Seg Diario'!V4</f>
        <v>6.6328900457082947</v>
      </c>
      <c r="D6" s="36">
        <f t="shared" si="0"/>
        <v>0</v>
      </c>
      <c r="E6" s="37">
        <f t="shared" si="1"/>
        <v>-6.6328900457082947</v>
      </c>
      <c r="F6" s="38">
        <f>+B6/J4/J5</f>
        <v>0</v>
      </c>
      <c r="G6" s="38">
        <f>+C6/J4/J5</f>
        <v>1.7139250764104118E-2</v>
      </c>
      <c r="H6" s="38">
        <f t="shared" si="2"/>
        <v>-1.7139250764104118E-2</v>
      </c>
      <c r="I6" s="28"/>
    </row>
    <row r="7" spans="1:10" x14ac:dyDescent="0.2">
      <c r="A7" s="34" t="s">
        <v>286</v>
      </c>
      <c r="B7" s="35">
        <f>+'Seg Diario'!Y4</f>
        <v>-496</v>
      </c>
      <c r="C7" s="35">
        <f>+'Seg Diario'!Z4</f>
        <v>33.009716816521205</v>
      </c>
      <c r="D7" s="36">
        <f t="shared" si="0"/>
        <v>-15.025878675570896</v>
      </c>
      <c r="E7" s="37">
        <f t="shared" si="1"/>
        <v>-529.00971681652118</v>
      </c>
      <c r="F7" s="38">
        <f>+B7/J4/J5</f>
        <v>-1.281653746770026</v>
      </c>
      <c r="G7" s="38">
        <f>+C7/J4/J5</f>
        <v>8.5296425882483734E-2</v>
      </c>
      <c r="H7" s="38">
        <f t="shared" si="2"/>
        <v>-1.3669501726525097</v>
      </c>
      <c r="I7" s="28"/>
    </row>
    <row r="8" spans="1:10" x14ac:dyDescent="0.2">
      <c r="A8" s="60" t="s">
        <v>351</v>
      </c>
    </row>
    <row r="9" spans="1:10" hidden="1" x14ac:dyDescent="0.2">
      <c r="A9" s="39" t="s">
        <v>295</v>
      </c>
      <c r="B9" s="39" t="s">
        <v>129</v>
      </c>
      <c r="C9" s="39" t="s">
        <v>302</v>
      </c>
      <c r="D9" s="39" t="s">
        <v>289</v>
      </c>
      <c r="E9" s="39" t="s">
        <v>272</v>
      </c>
      <c r="F9" s="39" t="s">
        <v>290</v>
      </c>
      <c r="G9" s="39" t="s">
        <v>291</v>
      </c>
      <c r="H9" s="39" t="s">
        <v>292</v>
      </c>
      <c r="I9" s="45" t="s">
        <v>299</v>
      </c>
      <c r="J9" s="45" t="s">
        <v>303</v>
      </c>
    </row>
    <row r="10" spans="1:10" ht="21.6" hidden="1" customHeight="1" x14ac:dyDescent="0.2">
      <c r="A10" s="47" t="s">
        <v>296</v>
      </c>
      <c r="B10" s="48">
        <f>SUMIFS('Seg Diario'!Q:Q,'Seg Diario'!D:D,"MAXI FEST")</f>
        <v>0</v>
      </c>
      <c r="C10" s="48">
        <f>SUMIFS('Seg Diario'!R:R,'Seg Diario'!D:D,"MAXI FEST")</f>
        <v>0</v>
      </c>
      <c r="D10" s="49" t="e">
        <f>+B10/C10</f>
        <v>#DIV/0!</v>
      </c>
      <c r="E10" s="50">
        <f>+B10-C10</f>
        <v>0</v>
      </c>
      <c r="F10" s="51">
        <f>+B10/I10/$J$10</f>
        <v>0</v>
      </c>
      <c r="G10" s="51">
        <f>+C10/I10/$J$10</f>
        <v>0</v>
      </c>
      <c r="H10" s="51">
        <f>+F10-G10</f>
        <v>0</v>
      </c>
      <c r="I10" s="48">
        <v>6</v>
      </c>
      <c r="J10" s="52">
        <v>9</v>
      </c>
    </row>
    <row r="11" spans="1:10" ht="21.6" hidden="1" customHeight="1" x14ac:dyDescent="0.2">
      <c r="A11" s="47" t="s">
        <v>301</v>
      </c>
      <c r="B11" s="48">
        <f>SUMIFS('Seg Diario'!Q:Q,'Seg Diario'!D:D,"10 TIENDAS EN ENFOQUE")</f>
        <v>0</v>
      </c>
      <c r="C11" s="48">
        <f>SUMIFS('Seg Diario'!R:R,'Seg Diario'!D:D,"10 TIENDAS EN ENFOQUE")</f>
        <v>0</v>
      </c>
      <c r="D11" s="49" t="e">
        <f t="shared" ref="D11:D13" si="3">+B11/C11</f>
        <v>#DIV/0!</v>
      </c>
      <c r="E11" s="50">
        <f t="shared" ref="E11:E13" si="4">+B11-C11</f>
        <v>0</v>
      </c>
      <c r="F11" s="51">
        <f>+B11/I11/$J$10</f>
        <v>0</v>
      </c>
      <c r="G11" s="51">
        <f t="shared" ref="G11:G13" si="5">+C11/I11/$J$10</f>
        <v>0</v>
      </c>
      <c r="H11" s="51">
        <f t="shared" ref="H11:H13" si="6">+F11-G11</f>
        <v>0</v>
      </c>
      <c r="I11" s="48">
        <v>10</v>
      </c>
      <c r="J11" s="53"/>
    </row>
    <row r="12" spans="1:10" ht="21.6" hidden="1" customHeight="1" x14ac:dyDescent="0.2">
      <c r="A12" s="47" t="s">
        <v>298</v>
      </c>
      <c r="B12" s="48">
        <f>SUMIFS('Seg Diario'!Q:Q,'Seg Diario'!D:D,"OPPO")</f>
        <v>0</v>
      </c>
      <c r="C12" s="48">
        <f>SUMIFS('Seg Diario'!R:R,'Seg Diario'!D:D,"OPPO")</f>
        <v>0</v>
      </c>
      <c r="D12" s="49" t="e">
        <f t="shared" si="3"/>
        <v>#DIV/0!</v>
      </c>
      <c r="E12" s="50">
        <f t="shared" si="4"/>
        <v>0</v>
      </c>
      <c r="F12" s="51">
        <f t="shared" ref="F12:F13" si="7">+B12/I12/$J$10</f>
        <v>0</v>
      </c>
      <c r="G12" s="51">
        <f t="shared" si="5"/>
        <v>0</v>
      </c>
      <c r="H12" s="51">
        <f t="shared" si="6"/>
        <v>0</v>
      </c>
      <c r="I12" s="47">
        <v>5</v>
      </c>
      <c r="J12" s="53"/>
    </row>
    <row r="13" spans="1:10" ht="21.6" hidden="1" customHeight="1" x14ac:dyDescent="0.2">
      <c r="A13" s="47" t="s">
        <v>297</v>
      </c>
      <c r="B13" s="48">
        <f>SUMIFS('Seg Diario'!Q:Q,'Seg Diario'!D:D,"MOTOROLA")</f>
        <v>0</v>
      </c>
      <c r="C13" s="48">
        <f>SUMIFS('Seg Diario'!R:R,'Seg Diario'!D:D,"MOTOROLA")</f>
        <v>0</v>
      </c>
      <c r="D13" s="49" t="e">
        <f t="shared" si="3"/>
        <v>#DIV/0!</v>
      </c>
      <c r="E13" s="50">
        <f t="shared" si="4"/>
        <v>0</v>
      </c>
      <c r="F13" s="51">
        <f t="shared" si="7"/>
        <v>0</v>
      </c>
      <c r="G13" s="51">
        <f t="shared" si="5"/>
        <v>0</v>
      </c>
      <c r="H13" s="51">
        <f t="shared" si="6"/>
        <v>0</v>
      </c>
      <c r="I13" s="47">
        <v>7</v>
      </c>
      <c r="J13" s="53"/>
    </row>
    <row r="14" spans="1:10" hidden="1" x14ac:dyDescent="0.2"/>
    <row r="15" spans="1:10" hidden="1" x14ac:dyDescent="0.2">
      <c r="A15" s="39" t="s">
        <v>296</v>
      </c>
      <c r="B15" s="39" t="s">
        <v>287</v>
      </c>
      <c r="C15" s="39" t="s">
        <v>288</v>
      </c>
      <c r="D15" s="39" t="s">
        <v>289</v>
      </c>
      <c r="E15" s="39" t="s">
        <v>272</v>
      </c>
      <c r="F15" s="39" t="s">
        <v>290</v>
      </c>
      <c r="G15" s="39" t="s">
        <v>291</v>
      </c>
      <c r="H15" s="39" t="s">
        <v>292</v>
      </c>
    </row>
    <row r="16" spans="1:10" hidden="1" x14ac:dyDescent="0.2">
      <c r="A16" s="34" t="s">
        <v>283</v>
      </c>
      <c r="B16" s="35">
        <f>+'Seg Diario'!M16</f>
        <v>0</v>
      </c>
      <c r="C16" s="35">
        <f>+'Seg Diario'!N16</f>
        <v>2.0482154192029212</v>
      </c>
      <c r="D16" s="36">
        <f>+B16/C16</f>
        <v>0</v>
      </c>
      <c r="E16" s="37">
        <f>+B16-C16</f>
        <v>-2.0482154192029212</v>
      </c>
      <c r="F16" s="38">
        <f>+B16/J16/46</f>
        <v>0</v>
      </c>
      <c r="G16" s="38">
        <f>+C16/J16/J17</f>
        <v>4.2671154566727522E-2</v>
      </c>
      <c r="H16" s="38">
        <f>+F16-G16</f>
        <v>-4.2671154566727522E-2</v>
      </c>
      <c r="I16" s="38" t="s">
        <v>293</v>
      </c>
      <c r="J16" s="40">
        <v>8</v>
      </c>
    </row>
    <row r="17" spans="1:10" hidden="1" x14ac:dyDescent="0.2">
      <c r="A17" s="34" t="s">
        <v>284</v>
      </c>
      <c r="B17" s="35">
        <f>+'Seg Diario'!Q16</f>
        <v>0</v>
      </c>
      <c r="C17" s="35">
        <f>+'Seg Diario'!R16</f>
        <v>0.96380870918593065</v>
      </c>
      <c r="D17" s="36">
        <f t="shared" ref="D17:D19" si="8">+B17/C17</f>
        <v>0</v>
      </c>
      <c r="E17" s="37">
        <f t="shared" ref="E17:E19" si="9">+B17-C17</f>
        <v>-0.96380870918593065</v>
      </c>
      <c r="F17" s="38">
        <f>+B17/J16/J17</f>
        <v>0</v>
      </c>
      <c r="G17" s="38">
        <f>+C17/J16/J17</f>
        <v>2.0079348108040223E-2</v>
      </c>
      <c r="H17" s="38">
        <f t="shared" ref="H17:H19" si="10">+F17-G17</f>
        <v>-2.0079348108040223E-2</v>
      </c>
      <c r="I17" s="38" t="s">
        <v>294</v>
      </c>
      <c r="J17" s="40">
        <v>6</v>
      </c>
    </row>
    <row r="18" spans="1:10" hidden="1" x14ac:dyDescent="0.2">
      <c r="A18" s="34" t="s">
        <v>285</v>
      </c>
      <c r="B18" s="34">
        <f>+'Seg Diario'!U16</f>
        <v>0</v>
      </c>
      <c r="C18" s="35">
        <f>+'Seg Diario'!V16</f>
        <v>0.12059800083105997</v>
      </c>
      <c r="D18" s="36">
        <f t="shared" si="8"/>
        <v>0</v>
      </c>
      <c r="E18" s="37">
        <f t="shared" si="9"/>
        <v>-0.12059800083105997</v>
      </c>
      <c r="F18" s="38">
        <f>+B18/J16/J17</f>
        <v>0</v>
      </c>
      <c r="G18" s="38">
        <f>+C18/J16/J17</f>
        <v>2.5124583506470825E-3</v>
      </c>
      <c r="H18" s="38">
        <f t="shared" si="10"/>
        <v>-2.5124583506470825E-3</v>
      </c>
    </row>
    <row r="19" spans="1:10" hidden="1" x14ac:dyDescent="0.2">
      <c r="A19" s="34" t="s">
        <v>286</v>
      </c>
      <c r="B19" s="35">
        <f>+'Seg Diario'!Y16</f>
        <v>0</v>
      </c>
      <c r="C19" s="35">
        <f>+'Seg Diario'!Z16</f>
        <v>0.96380870918593065</v>
      </c>
      <c r="D19" s="36">
        <f t="shared" si="8"/>
        <v>0</v>
      </c>
      <c r="E19" s="37">
        <f t="shared" si="9"/>
        <v>-0.96380870918593065</v>
      </c>
      <c r="F19" s="38">
        <f>+B19/J16/J17</f>
        <v>0</v>
      </c>
      <c r="G19" s="38">
        <f>+C19/J16/J17</f>
        <v>2.0079348108040223E-2</v>
      </c>
      <c r="H19" s="38">
        <f t="shared" si="10"/>
        <v>-2.0079348108040223E-2</v>
      </c>
    </row>
    <row r="20" spans="1:10" hidden="1" x14ac:dyDescent="0.2"/>
    <row r="21" spans="1:10" hidden="1" x14ac:dyDescent="0.2">
      <c r="A21" s="39" t="s">
        <v>298</v>
      </c>
      <c r="B21" s="39" t="s">
        <v>287</v>
      </c>
      <c r="C21" s="39" t="s">
        <v>288</v>
      </c>
      <c r="D21" s="39" t="s">
        <v>289</v>
      </c>
      <c r="E21" s="39" t="s">
        <v>272</v>
      </c>
      <c r="F21" s="39" t="s">
        <v>290</v>
      </c>
      <c r="G21" s="39" t="s">
        <v>291</v>
      </c>
      <c r="H21" s="39" t="s">
        <v>292</v>
      </c>
    </row>
    <row r="22" spans="1:10" hidden="1" x14ac:dyDescent="0.2">
      <c r="A22" s="34" t="s">
        <v>283</v>
      </c>
      <c r="B22" s="35">
        <f>+'Seg Diario'!M22</f>
        <v>0</v>
      </c>
      <c r="C22" s="35">
        <f>+'Seg Diario'!N22</f>
        <v>1.9105284607477884</v>
      </c>
      <c r="D22" s="36">
        <f>+B22/C22</f>
        <v>0</v>
      </c>
      <c r="E22" s="37">
        <f>+B22-C22</f>
        <v>-1.9105284607477884</v>
      </c>
      <c r="F22" s="38">
        <f>+B22/J22/46</f>
        <v>0</v>
      </c>
      <c r="G22" s="38" t="e">
        <f>+C22/J22/J23</f>
        <v>#DIV/0!</v>
      </c>
      <c r="H22" s="38" t="e">
        <f>+F22-G22</f>
        <v>#DIV/0!</v>
      </c>
      <c r="I22" s="38" t="s">
        <v>293</v>
      </c>
      <c r="J22" s="40">
        <v>8</v>
      </c>
    </row>
    <row r="23" spans="1:10" hidden="1" x14ac:dyDescent="0.2">
      <c r="A23" s="34" t="s">
        <v>284</v>
      </c>
      <c r="B23" s="35">
        <f>+'Seg Diario'!Q22</f>
        <v>0</v>
      </c>
      <c r="C23" s="35">
        <f>+'Seg Diario'!R22</f>
        <v>1.1014956676410637</v>
      </c>
      <c r="D23" s="36">
        <f t="shared" ref="D23:D25" si="11">+B23/C23</f>
        <v>0</v>
      </c>
      <c r="E23" s="37">
        <f t="shared" ref="E23:E25" si="12">+B23-C23</f>
        <v>-1.1014956676410637</v>
      </c>
      <c r="F23" s="38" t="e">
        <f>+B23/J22/J23</f>
        <v>#DIV/0!</v>
      </c>
      <c r="G23" s="38" t="e">
        <f>+C23/J22/J23</f>
        <v>#DIV/0!</v>
      </c>
      <c r="H23" s="38" t="e">
        <f t="shared" ref="H23:H25" si="13">+F23-G23</f>
        <v>#DIV/0!</v>
      </c>
      <c r="I23" s="38" t="s">
        <v>294</v>
      </c>
      <c r="J23" s="40"/>
    </row>
    <row r="24" spans="1:10" hidden="1" x14ac:dyDescent="0.2">
      <c r="A24" s="34" t="s">
        <v>285</v>
      </c>
      <c r="B24" s="34">
        <f>+'Seg Diario'!U22</f>
        <v>0</v>
      </c>
      <c r="C24" s="35">
        <f>+'Seg Diario'!V22</f>
        <v>0.12059800083105997</v>
      </c>
      <c r="D24" s="36">
        <f t="shared" si="11"/>
        <v>0</v>
      </c>
      <c r="E24" s="37">
        <f t="shared" si="12"/>
        <v>-0.12059800083105997</v>
      </c>
      <c r="F24" s="38" t="e">
        <f>+B24/J22/J23</f>
        <v>#DIV/0!</v>
      </c>
      <c r="G24" s="38" t="e">
        <f>+C24/J22/J23</f>
        <v>#DIV/0!</v>
      </c>
      <c r="H24" s="38" t="e">
        <f t="shared" si="13"/>
        <v>#DIV/0!</v>
      </c>
    </row>
    <row r="25" spans="1:10" hidden="1" x14ac:dyDescent="0.2">
      <c r="A25" s="34" t="s">
        <v>286</v>
      </c>
      <c r="B25" s="35">
        <f>+'Seg Diario'!Y22</f>
        <v>0</v>
      </c>
      <c r="C25" s="35">
        <f>+'Seg Diario'!Z22</f>
        <v>0.68843479227566484</v>
      </c>
      <c r="D25" s="36">
        <f t="shared" si="11"/>
        <v>0</v>
      </c>
      <c r="E25" s="37">
        <f t="shared" si="12"/>
        <v>-0.68843479227566484</v>
      </c>
      <c r="F25" s="38" t="e">
        <f>+B25/J22/J23</f>
        <v>#DIV/0!</v>
      </c>
      <c r="G25" s="38" t="e">
        <f>+C25/J22/J23</f>
        <v>#DIV/0!</v>
      </c>
      <c r="H25" s="38" t="e">
        <f t="shared" si="13"/>
        <v>#DIV/0!</v>
      </c>
    </row>
    <row r="26" spans="1:10" hidden="1" x14ac:dyDescent="0.2"/>
    <row r="27" spans="1:10" hidden="1" x14ac:dyDescent="0.2">
      <c r="A27" s="39" t="s">
        <v>297</v>
      </c>
      <c r="B27" s="39" t="s">
        <v>287</v>
      </c>
      <c r="C27" s="39" t="s">
        <v>288</v>
      </c>
      <c r="D27" s="39" t="s">
        <v>289</v>
      </c>
      <c r="E27" s="39" t="s">
        <v>272</v>
      </c>
      <c r="F27" s="39" t="s">
        <v>290</v>
      </c>
      <c r="G27" s="39" t="s">
        <v>291</v>
      </c>
      <c r="H27" s="39" t="s">
        <v>292</v>
      </c>
    </row>
    <row r="28" spans="1:10" hidden="1" x14ac:dyDescent="0.2">
      <c r="A28" s="34" t="s">
        <v>283</v>
      </c>
      <c r="B28" s="35">
        <f>+'Seg Diario'!M28</f>
        <v>0</v>
      </c>
      <c r="C28" s="35">
        <f>+'Seg Diario'!N28</f>
        <v>4.2341177968609758</v>
      </c>
      <c r="D28" s="36">
        <f>+B28/C28</f>
        <v>0</v>
      </c>
      <c r="E28" s="37">
        <f>+B28-C28</f>
        <v>-4.2341177968609758</v>
      </c>
      <c r="F28" s="38">
        <f>+B28/J28/46</f>
        <v>0</v>
      </c>
      <c r="G28" s="38" t="e">
        <f>+C28/J28/J29</f>
        <v>#DIV/0!</v>
      </c>
      <c r="H28" s="38" t="e">
        <f>+F28-G28</f>
        <v>#DIV/0!</v>
      </c>
      <c r="I28" s="38" t="s">
        <v>293</v>
      </c>
      <c r="J28" s="40">
        <v>8</v>
      </c>
    </row>
    <row r="29" spans="1:10" hidden="1" x14ac:dyDescent="0.2">
      <c r="A29" s="34" t="s">
        <v>284</v>
      </c>
      <c r="B29" s="35">
        <f>+'Seg Diario'!Q28</f>
        <v>0</v>
      </c>
      <c r="C29" s="35">
        <f>+'Seg Diario'!R28</f>
        <v>2.3235893361131872</v>
      </c>
      <c r="D29" s="36">
        <f t="shared" ref="D29:D31" si="14">+B29/C29</f>
        <v>0</v>
      </c>
      <c r="E29" s="37">
        <f t="shared" ref="E29:E31" si="15">+B29-C29</f>
        <v>-2.3235893361131872</v>
      </c>
      <c r="F29" s="38" t="e">
        <f>+B29/J28/J29</f>
        <v>#DIV/0!</v>
      </c>
      <c r="G29" s="38" t="e">
        <f>+C29/J28/J29</f>
        <v>#DIV/0!</v>
      </c>
      <c r="H29" s="38" t="e">
        <f t="shared" ref="H29:H31" si="16">+F29-G29</f>
        <v>#DIV/0!</v>
      </c>
      <c r="I29" s="38" t="s">
        <v>294</v>
      </c>
      <c r="J29" s="40"/>
    </row>
    <row r="30" spans="1:10" hidden="1" x14ac:dyDescent="0.2">
      <c r="A30" s="34" t="s">
        <v>285</v>
      </c>
      <c r="B30" s="34">
        <f>+'Seg Diario'!U28</f>
        <v>0</v>
      </c>
      <c r="C30" s="35">
        <f>+'Seg Diario'!V28</f>
        <v>0.24119600166211994</v>
      </c>
      <c r="D30" s="36">
        <f t="shared" si="14"/>
        <v>0</v>
      </c>
      <c r="E30" s="37">
        <f t="shared" si="15"/>
        <v>-0.24119600166211994</v>
      </c>
      <c r="F30" s="38" t="e">
        <f>+B30/J28/J29</f>
        <v>#DIV/0!</v>
      </c>
      <c r="G30" s="38" t="e">
        <f>+C30/J28/J29</f>
        <v>#DIV/0!</v>
      </c>
      <c r="H30" s="38" t="e">
        <f t="shared" si="16"/>
        <v>#DIV/0!</v>
      </c>
    </row>
    <row r="31" spans="1:10" hidden="1" x14ac:dyDescent="0.2">
      <c r="A31" s="34" t="s">
        <v>286</v>
      </c>
      <c r="B31" s="35">
        <f>+'Seg Diario'!Y28</f>
        <v>0</v>
      </c>
      <c r="C31" s="35">
        <f>+'Seg Diario'!Z28</f>
        <v>1.6693324590856689</v>
      </c>
      <c r="D31" s="36">
        <f t="shared" si="14"/>
        <v>0</v>
      </c>
      <c r="E31" s="37">
        <f t="shared" si="15"/>
        <v>-1.6693324590856689</v>
      </c>
      <c r="F31" s="38" t="e">
        <f>+B31/J28/J29</f>
        <v>#DIV/0!</v>
      </c>
      <c r="G31" s="38" t="e">
        <f>+C31/J28/J29</f>
        <v>#DIV/0!</v>
      </c>
      <c r="H31" s="38" t="e">
        <f t="shared" si="16"/>
        <v>#DIV/0!</v>
      </c>
    </row>
    <row r="32" spans="1:10" x14ac:dyDescent="0.2">
      <c r="A32" s="39" t="s">
        <v>138</v>
      </c>
      <c r="B32" s="39" t="s">
        <v>129</v>
      </c>
      <c r="C32" s="39" t="s">
        <v>302</v>
      </c>
      <c r="D32" s="39" t="s">
        <v>289</v>
      </c>
      <c r="E32" s="39" t="s">
        <v>272</v>
      </c>
      <c r="F32" s="39" t="s">
        <v>290</v>
      </c>
      <c r="G32" s="39" t="s">
        <v>291</v>
      </c>
      <c r="H32" s="39" t="s">
        <v>292</v>
      </c>
    </row>
    <row r="33" spans="1:10" x14ac:dyDescent="0.2">
      <c r="A33" s="34" t="s">
        <v>283</v>
      </c>
      <c r="B33" s="35">
        <f>+'Seg Diario'!M33</f>
        <v>0</v>
      </c>
      <c r="C33" s="35">
        <f>+'Seg Diario'!N33</f>
        <v>1.7728415022926554</v>
      </c>
      <c r="D33" s="36">
        <f>+B33/C33</f>
        <v>0</v>
      </c>
      <c r="E33" s="37">
        <f>+B33-C33</f>
        <v>-1.7728415022926554</v>
      </c>
      <c r="F33" s="38">
        <f>+B33/J33/46</f>
        <v>0</v>
      </c>
      <c r="G33" s="38">
        <f>+C33/J33/J34</f>
        <v>4.5809857940378694E-3</v>
      </c>
      <c r="H33" s="38">
        <f>+F33-G33</f>
        <v>-4.5809857940378694E-3</v>
      </c>
      <c r="I33" s="38" t="s">
        <v>293</v>
      </c>
      <c r="J33" s="40">
        <v>9</v>
      </c>
    </row>
    <row r="34" spans="1:10" x14ac:dyDescent="0.2">
      <c r="A34" s="34" t="s">
        <v>284</v>
      </c>
      <c r="B34" s="35">
        <f>+'Seg Diario'!Q33</f>
        <v>0</v>
      </c>
      <c r="C34" s="35">
        <f>+'Seg Diario'!R33</f>
        <v>0.96380870918593065</v>
      </c>
      <c r="D34" s="36">
        <f t="shared" ref="D34:D36" si="17">+B34/C34</f>
        <v>0</v>
      </c>
      <c r="E34" s="37">
        <f t="shared" ref="E34:E36" si="18">+B34-C34</f>
        <v>-0.96380870918593065</v>
      </c>
      <c r="F34" s="38">
        <f>+B34/J33/J34</f>
        <v>0</v>
      </c>
      <c r="G34" s="38">
        <f>+C34/J33/J34</f>
        <v>2.490461780842198E-3</v>
      </c>
      <c r="H34" s="38">
        <f t="shared" ref="H34:H36" si="19">+F34-G34</f>
        <v>-2.490461780842198E-3</v>
      </c>
      <c r="I34" s="38" t="s">
        <v>294</v>
      </c>
      <c r="J34" s="40">
        <v>43</v>
      </c>
    </row>
    <row r="35" spans="1:10" x14ac:dyDescent="0.2">
      <c r="A35" s="34" t="s">
        <v>285</v>
      </c>
      <c r="B35" s="34">
        <f>+'Seg Diario'!U33</f>
        <v>0</v>
      </c>
      <c r="C35" s="35">
        <f>+'Seg Diario'!V33</f>
        <v>0.12059800083105997</v>
      </c>
      <c r="D35" s="36">
        <f t="shared" si="17"/>
        <v>0</v>
      </c>
      <c r="E35" s="37">
        <f t="shared" si="18"/>
        <v>-0.12059800083105997</v>
      </c>
      <c r="F35" s="38">
        <f>+B35/J33/J34</f>
        <v>0</v>
      </c>
      <c r="G35" s="38">
        <f>+C35/J33/J34</f>
        <v>3.1162274116552962E-4</v>
      </c>
      <c r="H35" s="38">
        <f t="shared" si="19"/>
        <v>-3.1162274116552962E-4</v>
      </c>
    </row>
    <row r="36" spans="1:10" x14ac:dyDescent="0.2">
      <c r="A36" s="34" t="s">
        <v>286</v>
      </c>
      <c r="B36" s="35">
        <f>+'Seg Diario'!Y33</f>
        <v>0</v>
      </c>
      <c r="C36" s="35">
        <f>+'Seg Diario'!Z33</f>
        <v>0.68843479227566484</v>
      </c>
      <c r="D36" s="36">
        <f t="shared" si="17"/>
        <v>0</v>
      </c>
      <c r="E36" s="37">
        <f t="shared" si="18"/>
        <v>-0.68843479227566484</v>
      </c>
      <c r="F36" s="38">
        <f>+B36/J33/J34</f>
        <v>0</v>
      </c>
      <c r="G36" s="38">
        <f>+C36/J33/J34</f>
        <v>1.7789012720301417E-3</v>
      </c>
      <c r="H36" s="38">
        <f t="shared" si="19"/>
        <v>-1.7789012720301417E-3</v>
      </c>
    </row>
  </sheetData>
  <conditionalFormatting sqref="D4:D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:D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6:D1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D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3:D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6821-9323-4AB9-9704-8A4BCAB3EFEE}">
  <dimension ref="A1:BR109"/>
  <sheetViews>
    <sheetView showGridLines="0" zoomScale="80" zoomScaleNormal="80" workbookViewId="0">
      <pane xSplit="8" topLeftCell="I1" activePane="topRight" state="frozen"/>
      <selection pane="topRight" activeCell="I4" sqref="I4"/>
    </sheetView>
  </sheetViews>
  <sheetFormatPr defaultColWidth="10.76171875" defaultRowHeight="15" x14ac:dyDescent="0.2"/>
  <cols>
    <col min="1" max="1" width="31.07421875" bestFit="1" customWidth="1"/>
    <col min="2" max="2" width="12.77734375" customWidth="1"/>
    <col min="3" max="3" width="27.84375" customWidth="1"/>
    <col min="4" max="4" width="9.68359375" customWidth="1"/>
    <col min="5" max="5" width="10.22265625" bestFit="1" customWidth="1"/>
    <col min="6" max="6" width="42.5078125" bestFit="1" customWidth="1"/>
    <col min="7" max="7" width="19.50390625" customWidth="1"/>
    <col min="8" max="8" width="11.02734375" bestFit="1" customWidth="1"/>
  </cols>
  <sheetData>
    <row r="1" spans="1:70" x14ac:dyDescent="0.2">
      <c r="I1" t="s">
        <v>131</v>
      </c>
      <c r="J1" t="s">
        <v>132</v>
      </c>
      <c r="K1" t="s">
        <v>386</v>
      </c>
      <c r="L1" t="s">
        <v>134</v>
      </c>
      <c r="M1" t="s">
        <v>135</v>
      </c>
      <c r="N1" t="s">
        <v>385</v>
      </c>
      <c r="O1" t="s">
        <v>130</v>
      </c>
      <c r="P1" t="s">
        <v>131</v>
      </c>
      <c r="Q1" t="s">
        <v>132</v>
      </c>
      <c r="R1" t="s">
        <v>386</v>
      </c>
      <c r="S1" t="s">
        <v>134</v>
      </c>
      <c r="T1" t="s">
        <v>135</v>
      </c>
      <c r="U1" t="s">
        <v>385</v>
      </c>
      <c r="V1" t="s">
        <v>130</v>
      </c>
      <c r="W1" t="s">
        <v>131</v>
      </c>
      <c r="X1" t="s">
        <v>132</v>
      </c>
      <c r="Y1" t="s">
        <v>386</v>
      </c>
      <c r="Z1" t="s">
        <v>134</v>
      </c>
      <c r="AA1" t="s">
        <v>135</v>
      </c>
      <c r="AB1" t="s">
        <v>385</v>
      </c>
      <c r="AC1" t="s">
        <v>130</v>
      </c>
      <c r="AD1" t="s">
        <v>131</v>
      </c>
      <c r="AE1" t="s">
        <v>132</v>
      </c>
      <c r="AF1" t="s">
        <v>386</v>
      </c>
      <c r="AG1" t="s">
        <v>134</v>
      </c>
      <c r="AH1" t="s">
        <v>135</v>
      </c>
      <c r="AI1" t="s">
        <v>385</v>
      </c>
      <c r="AJ1" t="s">
        <v>130</v>
      </c>
      <c r="AK1" t="s">
        <v>131</v>
      </c>
      <c r="AL1" t="s">
        <v>132</v>
      </c>
      <c r="AN1" t="s">
        <v>131</v>
      </c>
      <c r="AO1" t="s">
        <v>132</v>
      </c>
      <c r="AP1" t="s">
        <v>386</v>
      </c>
      <c r="AQ1" t="s">
        <v>134</v>
      </c>
      <c r="AR1" t="s">
        <v>135</v>
      </c>
      <c r="AS1" t="s">
        <v>385</v>
      </c>
      <c r="AT1" t="s">
        <v>130</v>
      </c>
      <c r="AU1" t="s">
        <v>131</v>
      </c>
      <c r="AV1" t="s">
        <v>132</v>
      </c>
      <c r="AW1" t="s">
        <v>386</v>
      </c>
      <c r="AX1" t="s">
        <v>134</v>
      </c>
      <c r="AY1" t="s">
        <v>135</v>
      </c>
      <c r="AZ1" t="s">
        <v>385</v>
      </c>
      <c r="BA1" t="s">
        <v>130</v>
      </c>
      <c r="BB1" t="s">
        <v>131</v>
      </c>
      <c r="BC1" t="s">
        <v>132</v>
      </c>
      <c r="BD1" t="s">
        <v>386</v>
      </c>
      <c r="BE1" t="s">
        <v>134</v>
      </c>
      <c r="BF1" t="s">
        <v>135</v>
      </c>
      <c r="BG1" t="s">
        <v>385</v>
      </c>
      <c r="BH1" t="s">
        <v>130</v>
      </c>
      <c r="BI1" t="s">
        <v>131</v>
      </c>
      <c r="BJ1" t="s">
        <v>132</v>
      </c>
      <c r="BK1" t="s">
        <v>386</v>
      </c>
      <c r="BL1" t="s">
        <v>134</v>
      </c>
      <c r="BM1" t="s">
        <v>135</v>
      </c>
      <c r="BN1" t="s">
        <v>385</v>
      </c>
      <c r="BO1" t="s">
        <v>130</v>
      </c>
      <c r="BP1" t="s">
        <v>131</v>
      </c>
      <c r="BQ1" t="s">
        <v>132</v>
      </c>
    </row>
    <row r="2" spans="1:70" x14ac:dyDescent="0.2">
      <c r="C2" s="81"/>
      <c r="D2" s="65">
        <f>+SUBTOTAL(9,D4:D109)</f>
        <v>0</v>
      </c>
      <c r="E2" s="81"/>
      <c r="F2" s="81"/>
      <c r="G2" s="81"/>
      <c r="H2" s="81"/>
      <c r="I2" s="65">
        <f t="shared" ref="I2:BR2" si="0">+SUBTOTAL(9,I4:I109)</f>
        <v>0</v>
      </c>
      <c r="J2" s="65">
        <f t="shared" si="0"/>
        <v>0</v>
      </c>
      <c r="K2" s="65">
        <f t="shared" si="0"/>
        <v>0</v>
      </c>
      <c r="L2" s="65">
        <f t="shared" si="0"/>
        <v>0</v>
      </c>
      <c r="M2" s="65">
        <f t="shared" si="0"/>
        <v>0</v>
      </c>
      <c r="N2" s="65">
        <f t="shared" si="0"/>
        <v>0</v>
      </c>
      <c r="O2" s="65">
        <f t="shared" si="0"/>
        <v>0</v>
      </c>
      <c r="P2" s="65">
        <f t="shared" si="0"/>
        <v>0</v>
      </c>
      <c r="Q2" s="65">
        <f t="shared" si="0"/>
        <v>0</v>
      </c>
      <c r="R2" s="65">
        <f t="shared" si="0"/>
        <v>0</v>
      </c>
      <c r="S2" s="65">
        <f t="shared" si="0"/>
        <v>0</v>
      </c>
      <c r="T2" s="65">
        <f t="shared" si="0"/>
        <v>0</v>
      </c>
      <c r="U2" s="65">
        <f t="shared" si="0"/>
        <v>0</v>
      </c>
      <c r="V2" s="65">
        <f t="shared" si="0"/>
        <v>0</v>
      </c>
      <c r="W2" s="65">
        <f t="shared" si="0"/>
        <v>0</v>
      </c>
      <c r="X2" s="65">
        <f t="shared" si="0"/>
        <v>0</v>
      </c>
      <c r="Y2" s="65">
        <f t="shared" si="0"/>
        <v>0</v>
      </c>
      <c r="Z2" s="65">
        <f t="shared" si="0"/>
        <v>0</v>
      </c>
      <c r="AA2" s="65">
        <f t="shared" si="0"/>
        <v>0</v>
      </c>
      <c r="AB2" s="65">
        <f t="shared" si="0"/>
        <v>0</v>
      </c>
      <c r="AC2" s="65">
        <f t="shared" si="0"/>
        <v>0</v>
      </c>
      <c r="AD2" s="65">
        <f t="shared" si="0"/>
        <v>0</v>
      </c>
      <c r="AE2" s="65">
        <f t="shared" si="0"/>
        <v>0</v>
      </c>
      <c r="AF2" s="65">
        <f t="shared" si="0"/>
        <v>0</v>
      </c>
      <c r="AG2" s="65">
        <f t="shared" si="0"/>
        <v>0</v>
      </c>
      <c r="AH2" s="65">
        <f t="shared" si="0"/>
        <v>0</v>
      </c>
      <c r="AI2" s="65">
        <f t="shared" si="0"/>
        <v>0</v>
      </c>
      <c r="AJ2" s="65">
        <f t="shared" si="0"/>
        <v>0</v>
      </c>
      <c r="AK2" s="65">
        <f t="shared" si="0"/>
        <v>0</v>
      </c>
      <c r="AL2" s="65">
        <f t="shared" si="0"/>
        <v>0</v>
      </c>
      <c r="AM2" s="65">
        <f t="shared" si="0"/>
        <v>0</v>
      </c>
      <c r="AN2" s="65">
        <f t="shared" si="0"/>
        <v>0</v>
      </c>
      <c r="AO2" s="65">
        <f t="shared" si="0"/>
        <v>0</v>
      </c>
      <c r="AP2" s="65">
        <f t="shared" si="0"/>
        <v>0</v>
      </c>
      <c r="AQ2" s="65">
        <f t="shared" si="0"/>
        <v>0</v>
      </c>
      <c r="AR2" s="65">
        <f t="shared" si="0"/>
        <v>0</v>
      </c>
      <c r="AS2" s="65">
        <f t="shared" si="0"/>
        <v>0</v>
      </c>
      <c r="AT2" s="65">
        <f t="shared" si="0"/>
        <v>0</v>
      </c>
      <c r="AU2" s="65">
        <f t="shared" si="0"/>
        <v>0</v>
      </c>
      <c r="AV2" s="65">
        <f t="shared" si="0"/>
        <v>0</v>
      </c>
      <c r="AW2" s="65">
        <f t="shared" si="0"/>
        <v>0</v>
      </c>
      <c r="AX2" s="65">
        <f t="shared" si="0"/>
        <v>0</v>
      </c>
      <c r="AY2" s="65">
        <f t="shared" si="0"/>
        <v>0</v>
      </c>
      <c r="AZ2" s="65">
        <f t="shared" si="0"/>
        <v>0</v>
      </c>
      <c r="BA2" s="65">
        <f t="shared" si="0"/>
        <v>0</v>
      </c>
      <c r="BB2" s="65">
        <f t="shared" si="0"/>
        <v>0</v>
      </c>
      <c r="BC2" s="65">
        <f t="shared" si="0"/>
        <v>0</v>
      </c>
      <c r="BD2" s="65">
        <f t="shared" si="0"/>
        <v>0</v>
      </c>
      <c r="BE2" s="65">
        <f t="shared" si="0"/>
        <v>0</v>
      </c>
      <c r="BF2" s="65">
        <f t="shared" si="0"/>
        <v>0</v>
      </c>
      <c r="BG2" s="65">
        <f t="shared" si="0"/>
        <v>0</v>
      </c>
      <c r="BH2" s="65">
        <f t="shared" si="0"/>
        <v>0</v>
      </c>
      <c r="BI2" s="65">
        <f t="shared" si="0"/>
        <v>0</v>
      </c>
      <c r="BJ2" s="65">
        <f t="shared" si="0"/>
        <v>0</v>
      </c>
      <c r="BK2" s="65">
        <f t="shared" si="0"/>
        <v>0</v>
      </c>
      <c r="BL2" s="65">
        <f t="shared" si="0"/>
        <v>0</v>
      </c>
      <c r="BM2" s="65">
        <f t="shared" si="0"/>
        <v>0</v>
      </c>
      <c r="BN2" s="65">
        <f t="shared" si="0"/>
        <v>0</v>
      </c>
      <c r="BO2" s="65">
        <f t="shared" si="0"/>
        <v>0</v>
      </c>
      <c r="BP2" s="65">
        <f t="shared" si="0"/>
        <v>0</v>
      </c>
      <c r="BQ2" s="65">
        <f t="shared" si="0"/>
        <v>0</v>
      </c>
      <c r="BR2" s="65">
        <f t="shared" si="0"/>
        <v>0</v>
      </c>
    </row>
    <row r="3" spans="1:70" x14ac:dyDescent="0.2">
      <c r="A3" s="93" t="s">
        <v>0</v>
      </c>
      <c r="B3" s="93" t="s">
        <v>481</v>
      </c>
      <c r="C3" s="93" t="s">
        <v>122</v>
      </c>
      <c r="D3" s="94" t="s">
        <v>516</v>
      </c>
      <c r="E3" s="93" t="s">
        <v>1</v>
      </c>
      <c r="F3" s="93" t="s">
        <v>2</v>
      </c>
      <c r="G3" s="93" t="s">
        <v>3</v>
      </c>
      <c r="H3" s="95" t="s">
        <v>4</v>
      </c>
      <c r="I3" s="55">
        <v>46174</v>
      </c>
      <c r="J3" s="55">
        <v>46175</v>
      </c>
      <c r="K3" s="55">
        <v>46176</v>
      </c>
      <c r="L3" s="55">
        <v>46177</v>
      </c>
      <c r="M3" s="55">
        <v>46178</v>
      </c>
      <c r="N3" s="55">
        <v>46179</v>
      </c>
      <c r="O3" s="55">
        <v>46180</v>
      </c>
      <c r="P3" s="55">
        <v>46181</v>
      </c>
      <c r="Q3" s="55">
        <v>46182</v>
      </c>
      <c r="R3" s="55">
        <v>46183</v>
      </c>
      <c r="S3" s="55">
        <v>46184</v>
      </c>
      <c r="T3" s="55">
        <v>46185</v>
      </c>
      <c r="U3" s="55">
        <v>46186</v>
      </c>
      <c r="V3" s="55">
        <v>46187</v>
      </c>
      <c r="W3" s="55">
        <v>46188</v>
      </c>
      <c r="X3" s="55">
        <v>46189</v>
      </c>
      <c r="Y3" s="55">
        <v>46190</v>
      </c>
      <c r="Z3" s="55">
        <v>46191</v>
      </c>
      <c r="AA3" s="55">
        <v>46192</v>
      </c>
      <c r="AB3" s="55">
        <v>46193</v>
      </c>
      <c r="AC3" s="55">
        <v>46194</v>
      </c>
      <c r="AD3" s="55">
        <v>46195</v>
      </c>
      <c r="AE3" s="55">
        <v>46196</v>
      </c>
      <c r="AF3" s="55">
        <v>46197</v>
      </c>
      <c r="AG3" s="55">
        <v>46198</v>
      </c>
      <c r="AH3" s="55">
        <v>46199</v>
      </c>
      <c r="AI3" s="55">
        <v>46200</v>
      </c>
      <c r="AJ3" s="55">
        <v>46201</v>
      </c>
      <c r="AK3" s="55">
        <v>46202</v>
      </c>
      <c r="AL3" s="55">
        <v>46203</v>
      </c>
      <c r="AM3" s="55"/>
      <c r="AN3" s="57">
        <v>46174</v>
      </c>
      <c r="AO3" s="57">
        <v>46175</v>
      </c>
      <c r="AP3" s="57">
        <v>46176</v>
      </c>
      <c r="AQ3" s="57">
        <v>46177</v>
      </c>
      <c r="AR3" s="57">
        <v>46178</v>
      </c>
      <c r="AS3" s="57">
        <v>46179</v>
      </c>
      <c r="AT3" s="57">
        <v>46180</v>
      </c>
      <c r="AU3" s="57">
        <v>46181</v>
      </c>
      <c r="AV3" s="57">
        <v>46182</v>
      </c>
      <c r="AW3" s="57">
        <v>46183</v>
      </c>
      <c r="AX3" s="57">
        <v>46184</v>
      </c>
      <c r="AY3" s="57">
        <v>46185</v>
      </c>
      <c r="AZ3" s="57">
        <v>46186</v>
      </c>
      <c r="BA3" s="57">
        <v>46187</v>
      </c>
      <c r="BB3" s="57">
        <v>46188</v>
      </c>
      <c r="BC3" s="57">
        <v>46189</v>
      </c>
      <c r="BD3" s="57">
        <v>46190</v>
      </c>
      <c r="BE3" s="57">
        <v>46191</v>
      </c>
      <c r="BF3" s="57">
        <v>46192</v>
      </c>
      <c r="BG3" s="57">
        <v>46193</v>
      </c>
      <c r="BH3" s="57">
        <v>46194</v>
      </c>
      <c r="BI3" s="57">
        <v>46195</v>
      </c>
      <c r="BJ3" s="57">
        <v>46196</v>
      </c>
      <c r="BK3" s="57">
        <v>46197</v>
      </c>
      <c r="BL3" s="57">
        <v>46198</v>
      </c>
      <c r="BM3" s="57">
        <v>46199</v>
      </c>
      <c r="BN3" s="57">
        <v>46200</v>
      </c>
      <c r="BO3" s="57">
        <v>46201</v>
      </c>
      <c r="BP3" s="57">
        <v>46202</v>
      </c>
      <c r="BQ3" s="57">
        <v>46203</v>
      </c>
      <c r="BR3" s="57"/>
    </row>
    <row r="4" spans="1:70" x14ac:dyDescent="0.2">
      <c r="A4" s="89" t="s">
        <v>99</v>
      </c>
      <c r="B4" s="90" t="s">
        <v>482</v>
      </c>
      <c r="C4" s="91" t="s">
        <v>125</v>
      </c>
      <c r="D4" s="91"/>
      <c r="E4" s="90">
        <v>2090171</v>
      </c>
      <c r="F4" s="90" t="s">
        <v>18</v>
      </c>
      <c r="G4" s="90" t="s">
        <v>306</v>
      </c>
      <c r="H4" s="92" t="s">
        <v>280</v>
      </c>
      <c r="I4" s="56"/>
      <c r="J4" s="56"/>
      <c r="K4" s="56"/>
      <c r="AN4" s="56"/>
      <c r="AO4" s="56"/>
      <c r="AP4" s="56"/>
      <c r="AQ4" s="56"/>
    </row>
    <row r="5" spans="1:70" x14ac:dyDescent="0.2">
      <c r="A5" s="89" t="s">
        <v>99</v>
      </c>
      <c r="B5" s="90" t="s">
        <v>482</v>
      </c>
      <c r="C5" s="43" t="s">
        <v>557</v>
      </c>
      <c r="D5" s="91"/>
      <c r="E5" s="90">
        <v>2090172</v>
      </c>
      <c r="F5" s="90" t="s">
        <v>19</v>
      </c>
      <c r="G5" s="90" t="s">
        <v>306</v>
      </c>
      <c r="H5" s="92" t="s">
        <v>280</v>
      </c>
      <c r="I5" s="56"/>
      <c r="J5" s="56"/>
      <c r="K5" s="56"/>
      <c r="AN5" s="56"/>
      <c r="AO5" s="56"/>
      <c r="AP5" s="56"/>
      <c r="AQ5" s="56"/>
    </row>
    <row r="6" spans="1:70" x14ac:dyDescent="0.2">
      <c r="A6" s="89" t="s">
        <v>454</v>
      </c>
      <c r="B6" s="90" t="s">
        <v>483</v>
      </c>
      <c r="C6" s="91" t="s">
        <v>450</v>
      </c>
      <c r="D6" s="91"/>
      <c r="E6" s="90">
        <v>2090173</v>
      </c>
      <c r="F6" s="90" t="s">
        <v>388</v>
      </c>
      <c r="G6" s="90" t="s">
        <v>459</v>
      </c>
      <c r="H6" s="92" t="s">
        <v>280</v>
      </c>
      <c r="I6" s="56"/>
      <c r="J6" s="56"/>
      <c r="K6" s="56"/>
      <c r="AN6" s="56"/>
      <c r="AO6" s="56"/>
      <c r="AP6" s="56"/>
      <c r="AQ6" s="56"/>
    </row>
    <row r="7" spans="1:70" x14ac:dyDescent="0.2">
      <c r="A7" s="89" t="s">
        <v>455</v>
      </c>
      <c r="B7" s="90" t="s">
        <v>483</v>
      </c>
      <c r="C7" s="91" t="s">
        <v>451</v>
      </c>
      <c r="D7" s="91"/>
      <c r="E7" s="90">
        <v>2090174</v>
      </c>
      <c r="F7" s="90" t="s">
        <v>389</v>
      </c>
      <c r="G7" s="90" t="s">
        <v>460</v>
      </c>
      <c r="H7" s="92" t="s">
        <v>280</v>
      </c>
      <c r="I7" s="56"/>
      <c r="J7" s="56"/>
      <c r="K7" s="56"/>
      <c r="AN7" s="56"/>
      <c r="AO7" s="56"/>
      <c r="AP7" s="56"/>
      <c r="AQ7" s="56"/>
    </row>
    <row r="8" spans="1:70" x14ac:dyDescent="0.2">
      <c r="A8" s="89" t="s">
        <v>455</v>
      </c>
      <c r="B8" s="90" t="s">
        <v>483</v>
      </c>
      <c r="C8" s="91" t="s">
        <v>451</v>
      </c>
      <c r="D8" s="91"/>
      <c r="E8" s="90">
        <v>2090175</v>
      </c>
      <c r="F8" s="90" t="s">
        <v>390</v>
      </c>
      <c r="G8" s="90" t="s">
        <v>460</v>
      </c>
      <c r="H8" s="92" t="s">
        <v>280</v>
      </c>
      <c r="I8" s="56"/>
      <c r="J8" s="56"/>
      <c r="K8" s="56"/>
      <c r="AN8" s="56"/>
      <c r="AO8" s="56"/>
      <c r="AP8" s="56"/>
      <c r="AQ8" s="56"/>
    </row>
    <row r="9" spans="1:70" x14ac:dyDescent="0.2">
      <c r="A9" s="89" t="s">
        <v>455</v>
      </c>
      <c r="B9" s="90" t="s">
        <v>483</v>
      </c>
      <c r="C9" s="91" t="s">
        <v>451</v>
      </c>
      <c r="D9" s="91"/>
      <c r="E9" s="90">
        <v>2090176</v>
      </c>
      <c r="F9" s="90" t="s">
        <v>391</v>
      </c>
      <c r="G9" s="90" t="s">
        <v>460</v>
      </c>
      <c r="H9" s="92" t="s">
        <v>280</v>
      </c>
      <c r="I9" s="56"/>
      <c r="J9" s="56"/>
      <c r="K9" s="56"/>
      <c r="AN9" s="56"/>
      <c r="AO9" s="56"/>
      <c r="AP9" s="56"/>
      <c r="AQ9" s="56"/>
    </row>
    <row r="10" spans="1:70" x14ac:dyDescent="0.2">
      <c r="A10" s="89" t="s">
        <v>455</v>
      </c>
      <c r="B10" s="90" t="s">
        <v>483</v>
      </c>
      <c r="C10" s="91" t="s">
        <v>452</v>
      </c>
      <c r="D10" s="91"/>
      <c r="E10" s="90">
        <v>2090552</v>
      </c>
      <c r="F10" s="90" t="s">
        <v>392</v>
      </c>
      <c r="G10" s="90" t="s">
        <v>459</v>
      </c>
      <c r="H10" s="92" t="s">
        <v>282</v>
      </c>
      <c r="I10" s="56"/>
      <c r="J10" s="56"/>
      <c r="K10" s="56"/>
      <c r="AN10" s="56"/>
      <c r="AO10" s="56"/>
      <c r="AP10" s="56"/>
      <c r="AQ10" s="56"/>
    </row>
    <row r="11" spans="1:70" x14ac:dyDescent="0.2">
      <c r="A11" s="89" t="s">
        <v>455</v>
      </c>
      <c r="B11" s="90" t="s">
        <v>483</v>
      </c>
      <c r="C11" s="91" t="s">
        <v>451</v>
      </c>
      <c r="D11" s="91"/>
      <c r="E11" s="90">
        <v>2090559</v>
      </c>
      <c r="F11" s="90" t="s">
        <v>393</v>
      </c>
      <c r="G11" s="90" t="s">
        <v>460</v>
      </c>
      <c r="H11" s="92" t="s">
        <v>282</v>
      </c>
      <c r="I11" s="56"/>
      <c r="J11" s="56"/>
      <c r="K11" s="56"/>
      <c r="AN11" s="56"/>
      <c r="AO11" s="56"/>
      <c r="AP11" s="56"/>
      <c r="AQ11" s="56"/>
    </row>
    <row r="12" spans="1:70" x14ac:dyDescent="0.2">
      <c r="A12" s="89" t="s">
        <v>99</v>
      </c>
      <c r="B12" s="90" t="s">
        <v>482</v>
      </c>
      <c r="C12" s="43" t="s">
        <v>557</v>
      </c>
      <c r="D12" s="91"/>
      <c r="E12" s="90">
        <v>2090618</v>
      </c>
      <c r="F12" s="90" t="s">
        <v>20</v>
      </c>
      <c r="G12" s="90" t="s">
        <v>307</v>
      </c>
      <c r="H12" s="92" t="s">
        <v>280</v>
      </c>
      <c r="I12" s="56"/>
      <c r="J12" s="56"/>
      <c r="K12" s="56"/>
      <c r="AN12" s="56"/>
      <c r="AO12" s="56"/>
      <c r="AP12" s="56"/>
      <c r="AQ12" s="56"/>
    </row>
    <row r="13" spans="1:70" x14ac:dyDescent="0.2">
      <c r="A13" s="89" t="s">
        <v>455</v>
      </c>
      <c r="B13" s="90" t="s">
        <v>483</v>
      </c>
      <c r="C13" s="91" t="s">
        <v>450</v>
      </c>
      <c r="D13" s="91"/>
      <c r="E13" s="90">
        <v>2090742</v>
      </c>
      <c r="F13" s="90" t="s">
        <v>394</v>
      </c>
      <c r="G13" s="90" t="s">
        <v>461</v>
      </c>
      <c r="H13" s="92" t="s">
        <v>280</v>
      </c>
      <c r="I13" s="56"/>
      <c r="J13" s="56"/>
      <c r="K13" s="56"/>
      <c r="AN13" s="56"/>
      <c r="AO13" s="56"/>
      <c r="AP13" s="56"/>
      <c r="AQ13" s="56"/>
    </row>
    <row r="14" spans="1:70" x14ac:dyDescent="0.2">
      <c r="A14" s="89" t="s">
        <v>99</v>
      </c>
      <c r="B14" s="90" t="s">
        <v>482</v>
      </c>
      <c r="C14" s="43" t="s">
        <v>557</v>
      </c>
      <c r="D14" s="91"/>
      <c r="E14" s="90">
        <v>2090749</v>
      </c>
      <c r="F14" s="90" t="s">
        <v>22</v>
      </c>
      <c r="G14" s="90" t="s">
        <v>306</v>
      </c>
      <c r="H14" s="92" t="s">
        <v>280</v>
      </c>
      <c r="I14" s="56"/>
      <c r="J14" s="56"/>
      <c r="K14" s="56"/>
      <c r="AN14" s="56"/>
      <c r="AO14" s="56"/>
      <c r="AP14" s="56"/>
      <c r="AQ14" s="56"/>
    </row>
    <row r="15" spans="1:70" x14ac:dyDescent="0.2">
      <c r="A15" s="89" t="s">
        <v>455</v>
      </c>
      <c r="B15" s="90" t="s">
        <v>483</v>
      </c>
      <c r="C15" s="91" t="s">
        <v>450</v>
      </c>
      <c r="D15" s="91"/>
      <c r="E15" s="90">
        <v>2090826</v>
      </c>
      <c r="F15" s="90" t="s">
        <v>395</v>
      </c>
      <c r="G15" s="90" t="s">
        <v>462</v>
      </c>
      <c r="H15" s="92" t="s">
        <v>280</v>
      </c>
      <c r="I15" s="56"/>
      <c r="J15" s="56"/>
      <c r="K15" s="56"/>
      <c r="AN15" s="56"/>
      <c r="AO15" s="56"/>
      <c r="AP15" s="56"/>
      <c r="AQ15" s="56"/>
    </row>
    <row r="16" spans="1:70" x14ac:dyDescent="0.2">
      <c r="A16" s="89" t="s">
        <v>99</v>
      </c>
      <c r="B16" s="90" t="s">
        <v>482</v>
      </c>
      <c r="C16" s="91" t="s">
        <v>125</v>
      </c>
      <c r="D16" s="91"/>
      <c r="E16" s="90">
        <v>2090839</v>
      </c>
      <c r="F16" s="90" t="s">
        <v>6</v>
      </c>
      <c r="G16" s="90" t="s">
        <v>308</v>
      </c>
      <c r="H16" s="92" t="s">
        <v>280</v>
      </c>
      <c r="I16" s="56"/>
      <c r="J16" s="56"/>
      <c r="K16" s="56"/>
      <c r="AN16" s="56"/>
      <c r="AO16" s="56"/>
      <c r="AP16" s="56"/>
      <c r="AQ16" s="56"/>
    </row>
    <row r="17" spans="1:43" x14ac:dyDescent="0.2">
      <c r="A17" s="89" t="s">
        <v>99</v>
      </c>
      <c r="B17" s="90" t="s">
        <v>482</v>
      </c>
      <c r="C17" s="91" t="s">
        <v>125</v>
      </c>
      <c r="D17" s="91"/>
      <c r="E17" s="90">
        <v>2090872</v>
      </c>
      <c r="F17" s="90" t="s">
        <v>24</v>
      </c>
      <c r="G17" s="90" t="s">
        <v>306</v>
      </c>
      <c r="H17" s="92" t="s">
        <v>280</v>
      </c>
      <c r="I17" s="56"/>
      <c r="J17" s="56"/>
      <c r="K17" s="56"/>
      <c r="AN17" s="56"/>
      <c r="AO17" s="56"/>
      <c r="AP17" s="56"/>
      <c r="AQ17" s="56"/>
    </row>
    <row r="18" spans="1:43" x14ac:dyDescent="0.2">
      <c r="A18" s="89" t="s">
        <v>456</v>
      </c>
      <c r="B18" s="90" t="s">
        <v>483</v>
      </c>
      <c r="C18" s="91" t="s">
        <v>453</v>
      </c>
      <c r="D18" s="91"/>
      <c r="E18" s="90">
        <v>2090875</v>
      </c>
      <c r="F18" s="90" t="s">
        <v>396</v>
      </c>
      <c r="G18" s="90" t="s">
        <v>463</v>
      </c>
      <c r="H18" s="92" t="s">
        <v>280</v>
      </c>
      <c r="I18" s="56"/>
      <c r="J18" s="56"/>
      <c r="K18" s="56"/>
      <c r="AN18" s="56"/>
      <c r="AO18" s="56"/>
      <c r="AP18" s="56"/>
      <c r="AQ18" s="56"/>
    </row>
    <row r="19" spans="1:43" x14ac:dyDescent="0.2">
      <c r="A19" s="89" t="s">
        <v>455</v>
      </c>
      <c r="B19" s="90" t="s">
        <v>483</v>
      </c>
      <c r="C19" s="91" t="s">
        <v>451</v>
      </c>
      <c r="D19" s="91"/>
      <c r="E19" s="90">
        <v>2090892</v>
      </c>
      <c r="F19" s="90" t="s">
        <v>397</v>
      </c>
      <c r="G19" s="90" t="s">
        <v>460</v>
      </c>
      <c r="H19" s="92" t="s">
        <v>280</v>
      </c>
      <c r="I19" s="56"/>
      <c r="J19" s="56"/>
      <c r="K19" s="56"/>
      <c r="AN19" s="56"/>
      <c r="AO19" s="56"/>
      <c r="AP19" s="56"/>
      <c r="AQ19" s="56"/>
    </row>
    <row r="20" spans="1:43" x14ac:dyDescent="0.2">
      <c r="A20" s="89" t="s">
        <v>455</v>
      </c>
      <c r="B20" s="90" t="s">
        <v>483</v>
      </c>
      <c r="C20" s="91" t="s">
        <v>451</v>
      </c>
      <c r="D20" s="91"/>
      <c r="E20" s="90">
        <v>2090893</v>
      </c>
      <c r="F20" s="90" t="s">
        <v>398</v>
      </c>
      <c r="G20" s="90" t="s">
        <v>460</v>
      </c>
      <c r="H20" s="92" t="s">
        <v>280</v>
      </c>
      <c r="I20" s="56"/>
      <c r="J20" s="56"/>
      <c r="K20" s="56"/>
      <c r="AN20" s="56"/>
      <c r="AO20" s="56"/>
      <c r="AP20" s="56"/>
      <c r="AQ20" s="56"/>
    </row>
    <row r="21" spans="1:43" x14ac:dyDescent="0.2">
      <c r="A21" s="89" t="s">
        <v>99</v>
      </c>
      <c r="B21" s="90" t="s">
        <v>482</v>
      </c>
      <c r="C21" s="91" t="s">
        <v>127</v>
      </c>
      <c r="D21" s="91"/>
      <c r="E21" s="90">
        <v>2090912</v>
      </c>
      <c r="F21" s="90" t="s">
        <v>25</v>
      </c>
      <c r="G21" s="90" t="s">
        <v>309</v>
      </c>
      <c r="H21" s="92" t="s">
        <v>280</v>
      </c>
      <c r="I21" s="56"/>
      <c r="J21" s="56"/>
      <c r="K21" s="56"/>
      <c r="AN21" s="56"/>
      <c r="AO21" s="56"/>
      <c r="AP21" s="56"/>
      <c r="AQ21" s="56"/>
    </row>
    <row r="22" spans="1:43" x14ac:dyDescent="0.2">
      <c r="A22" s="89" t="s">
        <v>99</v>
      </c>
      <c r="B22" s="90" t="s">
        <v>482</v>
      </c>
      <c r="C22" s="91" t="s">
        <v>125</v>
      </c>
      <c r="D22" s="91"/>
      <c r="E22" s="90">
        <v>2090913</v>
      </c>
      <c r="F22" s="90" t="s">
        <v>26</v>
      </c>
      <c r="G22" s="90" t="s">
        <v>308</v>
      </c>
      <c r="H22" s="92" t="s">
        <v>280</v>
      </c>
      <c r="I22" s="56"/>
      <c r="J22" s="56"/>
      <c r="K22" s="56"/>
      <c r="AN22" s="56"/>
      <c r="AO22" s="56"/>
      <c r="AP22" s="56"/>
      <c r="AQ22" s="56"/>
    </row>
    <row r="23" spans="1:43" x14ac:dyDescent="0.2">
      <c r="A23" s="89" t="s">
        <v>99</v>
      </c>
      <c r="B23" s="90" t="s">
        <v>482</v>
      </c>
      <c r="C23" s="91" t="s">
        <v>125</v>
      </c>
      <c r="D23" s="91"/>
      <c r="E23" s="90">
        <v>2090932</v>
      </c>
      <c r="F23" s="90" t="s">
        <v>27</v>
      </c>
      <c r="G23" s="90" t="s">
        <v>310</v>
      </c>
      <c r="H23" s="92" t="s">
        <v>281</v>
      </c>
      <c r="I23" s="56"/>
      <c r="J23" s="56"/>
      <c r="K23" s="56"/>
      <c r="AN23" s="56"/>
      <c r="AO23" s="56"/>
      <c r="AP23" s="56"/>
      <c r="AQ23" s="56"/>
    </row>
    <row r="24" spans="1:43" x14ac:dyDescent="0.2">
      <c r="A24" s="89" t="s">
        <v>99</v>
      </c>
      <c r="B24" s="90" t="s">
        <v>482</v>
      </c>
      <c r="C24" s="91" t="s">
        <v>127</v>
      </c>
      <c r="D24" s="91"/>
      <c r="E24" s="90">
        <v>2090937</v>
      </c>
      <c r="F24" s="90" t="s">
        <v>29</v>
      </c>
      <c r="G24" s="90" t="s">
        <v>309</v>
      </c>
      <c r="H24" s="92" t="s">
        <v>280</v>
      </c>
      <c r="I24" s="56"/>
      <c r="J24" s="56"/>
      <c r="K24" s="56"/>
      <c r="AN24" s="56"/>
      <c r="AO24" s="56"/>
      <c r="AP24" s="56"/>
      <c r="AQ24" s="56"/>
    </row>
    <row r="25" spans="1:43" x14ac:dyDescent="0.2">
      <c r="A25" s="89" t="s">
        <v>99</v>
      </c>
      <c r="B25" s="90" t="s">
        <v>482</v>
      </c>
      <c r="C25" s="91" t="s">
        <v>127</v>
      </c>
      <c r="D25" s="91"/>
      <c r="E25" s="90">
        <v>2090947</v>
      </c>
      <c r="F25" s="90" t="s">
        <v>30</v>
      </c>
      <c r="G25" s="90" t="s">
        <v>309</v>
      </c>
      <c r="H25" s="92" t="s">
        <v>280</v>
      </c>
      <c r="I25" s="56"/>
      <c r="J25" s="56"/>
      <c r="K25" s="56"/>
      <c r="AN25" s="56"/>
      <c r="AO25" s="56"/>
      <c r="AP25" s="56"/>
      <c r="AQ25" s="56"/>
    </row>
    <row r="26" spans="1:43" x14ac:dyDescent="0.2">
      <c r="A26" s="89" t="s">
        <v>123</v>
      </c>
      <c r="B26" s="90" t="s">
        <v>482</v>
      </c>
      <c r="C26" s="43" t="s">
        <v>557</v>
      </c>
      <c r="D26" s="91"/>
      <c r="E26" s="90">
        <v>2090997</v>
      </c>
      <c r="F26" s="90" t="s">
        <v>31</v>
      </c>
      <c r="G26" s="90" t="s">
        <v>306</v>
      </c>
      <c r="H26" s="92" t="s">
        <v>280</v>
      </c>
      <c r="I26" s="56"/>
      <c r="J26" s="56"/>
      <c r="K26" s="56"/>
      <c r="AN26" s="56"/>
      <c r="AO26" s="56"/>
      <c r="AP26" s="56"/>
      <c r="AQ26" s="56"/>
    </row>
    <row r="27" spans="1:43" x14ac:dyDescent="0.2">
      <c r="A27" s="89" t="s">
        <v>99</v>
      </c>
      <c r="B27" s="90" t="s">
        <v>482</v>
      </c>
      <c r="C27" s="91" t="s">
        <v>125</v>
      </c>
      <c r="D27" s="91"/>
      <c r="E27" s="90">
        <v>2091007</v>
      </c>
      <c r="F27" s="90" t="s">
        <v>32</v>
      </c>
      <c r="G27" s="90" t="s">
        <v>310</v>
      </c>
      <c r="H27" s="92" t="s">
        <v>280</v>
      </c>
      <c r="I27" s="56"/>
      <c r="J27" s="56"/>
      <c r="K27" s="56"/>
      <c r="AN27" s="56"/>
      <c r="AO27" s="56"/>
      <c r="AP27" s="56"/>
      <c r="AQ27" s="56"/>
    </row>
    <row r="28" spans="1:43" x14ac:dyDescent="0.2">
      <c r="A28" s="89" t="s">
        <v>455</v>
      </c>
      <c r="B28" s="90" t="s">
        <v>483</v>
      </c>
      <c r="C28" s="91" t="s">
        <v>452</v>
      </c>
      <c r="D28" s="91"/>
      <c r="E28" s="90">
        <v>2091016</v>
      </c>
      <c r="F28" s="90" t="s">
        <v>399</v>
      </c>
      <c r="G28" s="90" t="s">
        <v>460</v>
      </c>
      <c r="H28" s="92" t="s">
        <v>280</v>
      </c>
      <c r="I28" s="56"/>
      <c r="J28" s="56"/>
      <c r="K28" s="56"/>
      <c r="AN28" s="56"/>
      <c r="AO28" s="56"/>
      <c r="AP28" s="56"/>
      <c r="AQ28" s="56"/>
    </row>
    <row r="29" spans="1:43" x14ac:dyDescent="0.2">
      <c r="A29" s="89" t="s">
        <v>454</v>
      </c>
      <c r="B29" s="90" t="s">
        <v>483</v>
      </c>
      <c r="C29" s="91" t="s">
        <v>450</v>
      </c>
      <c r="D29" s="91"/>
      <c r="E29" s="90">
        <v>2091032</v>
      </c>
      <c r="F29" s="90" t="s">
        <v>400</v>
      </c>
      <c r="G29" s="90" t="s">
        <v>460</v>
      </c>
      <c r="H29" s="92" t="s">
        <v>280</v>
      </c>
      <c r="I29" s="56"/>
      <c r="J29" s="56"/>
      <c r="K29" s="56"/>
      <c r="AN29" s="56"/>
      <c r="AO29" s="56"/>
      <c r="AP29" s="56"/>
      <c r="AQ29" s="56"/>
    </row>
    <row r="30" spans="1:43" x14ac:dyDescent="0.2">
      <c r="A30" s="89" t="s">
        <v>455</v>
      </c>
      <c r="B30" s="90" t="s">
        <v>483</v>
      </c>
      <c r="C30" s="91" t="s">
        <v>452</v>
      </c>
      <c r="D30" s="91"/>
      <c r="E30" s="90">
        <v>2091046</v>
      </c>
      <c r="F30" s="90" t="s">
        <v>401</v>
      </c>
      <c r="G30" s="90" t="s">
        <v>464</v>
      </c>
      <c r="H30" s="92" t="s">
        <v>280</v>
      </c>
      <c r="I30" s="56"/>
      <c r="J30" s="56"/>
      <c r="K30" s="56"/>
      <c r="AN30" s="56"/>
      <c r="AO30" s="56"/>
      <c r="AP30" s="56"/>
      <c r="AQ30" s="56"/>
    </row>
    <row r="31" spans="1:43" x14ac:dyDescent="0.2">
      <c r="A31" s="89" t="s">
        <v>455</v>
      </c>
      <c r="B31" s="90" t="s">
        <v>483</v>
      </c>
      <c r="C31" s="91" t="s">
        <v>450</v>
      </c>
      <c r="D31" s="91"/>
      <c r="E31" s="90">
        <v>2091151</v>
      </c>
      <c r="F31" s="90" t="s">
        <v>402</v>
      </c>
      <c r="G31" s="90" t="s">
        <v>461</v>
      </c>
      <c r="H31" s="92" t="s">
        <v>280</v>
      </c>
      <c r="I31" s="56"/>
      <c r="J31" s="56"/>
      <c r="K31" s="56"/>
      <c r="AN31" s="56"/>
      <c r="AO31" s="56"/>
      <c r="AP31" s="56"/>
      <c r="AQ31" s="56"/>
    </row>
    <row r="32" spans="1:43" x14ac:dyDescent="0.2">
      <c r="A32" s="89" t="s">
        <v>455</v>
      </c>
      <c r="B32" s="90" t="s">
        <v>483</v>
      </c>
      <c r="C32" s="91" t="s">
        <v>451</v>
      </c>
      <c r="D32" s="91"/>
      <c r="E32" s="90">
        <v>2091192</v>
      </c>
      <c r="F32" s="90" t="s">
        <v>403</v>
      </c>
      <c r="G32" s="90" t="s">
        <v>460</v>
      </c>
      <c r="H32" s="92" t="s">
        <v>281</v>
      </c>
      <c r="I32" s="56"/>
      <c r="J32" s="56"/>
      <c r="K32" s="56"/>
      <c r="AN32" s="56"/>
      <c r="AO32" s="56"/>
      <c r="AP32" s="56"/>
      <c r="AQ32" s="56"/>
    </row>
    <row r="33" spans="1:43" x14ac:dyDescent="0.2">
      <c r="A33" s="89" t="s">
        <v>455</v>
      </c>
      <c r="B33" s="90" t="s">
        <v>483</v>
      </c>
      <c r="C33" s="91" t="s">
        <v>450</v>
      </c>
      <c r="D33" s="91"/>
      <c r="E33" s="90">
        <v>2091194</v>
      </c>
      <c r="F33" s="90" t="s">
        <v>404</v>
      </c>
      <c r="G33" s="90" t="s">
        <v>465</v>
      </c>
      <c r="H33" s="92" t="s">
        <v>281</v>
      </c>
      <c r="I33" s="56"/>
      <c r="J33" s="56"/>
      <c r="K33" s="56"/>
      <c r="AN33" s="56"/>
      <c r="AO33" s="56"/>
      <c r="AP33" s="56"/>
      <c r="AQ33" s="56"/>
    </row>
    <row r="34" spans="1:43" x14ac:dyDescent="0.2">
      <c r="A34" s="89" t="s">
        <v>455</v>
      </c>
      <c r="B34" s="90" t="s">
        <v>483</v>
      </c>
      <c r="C34" s="91" t="s">
        <v>451</v>
      </c>
      <c r="D34" s="91"/>
      <c r="E34" s="90">
        <v>2091206</v>
      </c>
      <c r="F34" s="90" t="s">
        <v>405</v>
      </c>
      <c r="G34" s="90" t="s">
        <v>466</v>
      </c>
      <c r="H34" s="92" t="s">
        <v>281</v>
      </c>
      <c r="I34" s="56"/>
      <c r="J34" s="56"/>
      <c r="K34" s="56"/>
      <c r="AN34" s="56"/>
      <c r="AO34" s="56"/>
      <c r="AP34" s="56"/>
      <c r="AQ34" s="56"/>
    </row>
    <row r="35" spans="1:43" x14ac:dyDescent="0.2">
      <c r="A35" s="89" t="s">
        <v>456</v>
      </c>
      <c r="B35" s="90" t="s">
        <v>483</v>
      </c>
      <c r="C35" s="91" t="s">
        <v>453</v>
      </c>
      <c r="D35" s="91"/>
      <c r="E35" s="90">
        <v>2091207</v>
      </c>
      <c r="F35" s="90" t="s">
        <v>406</v>
      </c>
      <c r="G35" s="90" t="s">
        <v>467</v>
      </c>
      <c r="H35" s="92" t="s">
        <v>281</v>
      </c>
      <c r="I35" s="56"/>
      <c r="J35" s="56"/>
      <c r="K35" s="56"/>
      <c r="AN35" s="56"/>
      <c r="AO35" s="56"/>
      <c r="AP35" s="56"/>
      <c r="AQ35" s="56"/>
    </row>
    <row r="36" spans="1:43" x14ac:dyDescent="0.2">
      <c r="A36" s="89" t="s">
        <v>455</v>
      </c>
      <c r="B36" s="90" t="s">
        <v>483</v>
      </c>
      <c r="C36" s="91" t="s">
        <v>451</v>
      </c>
      <c r="D36" s="91"/>
      <c r="E36" s="90">
        <v>2091209</v>
      </c>
      <c r="F36" s="90" t="s">
        <v>407</v>
      </c>
      <c r="G36" s="90" t="s">
        <v>460</v>
      </c>
      <c r="H36" s="92" t="s">
        <v>281</v>
      </c>
      <c r="I36" s="56"/>
      <c r="J36" s="56"/>
      <c r="K36" s="56"/>
      <c r="AN36" s="56"/>
      <c r="AO36" s="56"/>
      <c r="AP36" s="56"/>
      <c r="AQ36" s="56"/>
    </row>
    <row r="37" spans="1:43" x14ac:dyDescent="0.2">
      <c r="A37" s="89" t="s">
        <v>455</v>
      </c>
      <c r="B37" s="90" t="s">
        <v>483</v>
      </c>
      <c r="C37" s="91" t="s">
        <v>452</v>
      </c>
      <c r="D37" s="91"/>
      <c r="E37" s="90">
        <v>2091238</v>
      </c>
      <c r="F37" s="90" t="s">
        <v>408</v>
      </c>
      <c r="G37" s="90" t="s">
        <v>468</v>
      </c>
      <c r="H37" s="92" t="s">
        <v>281</v>
      </c>
      <c r="I37" s="56"/>
      <c r="J37" s="56"/>
      <c r="K37" s="56"/>
      <c r="AN37" s="56"/>
      <c r="AO37" s="56"/>
      <c r="AP37" s="56"/>
      <c r="AQ37" s="56"/>
    </row>
    <row r="38" spans="1:43" x14ac:dyDescent="0.2">
      <c r="A38" s="89" t="s">
        <v>456</v>
      </c>
      <c r="B38" s="90" t="s">
        <v>483</v>
      </c>
      <c r="C38" s="91" t="s">
        <v>453</v>
      </c>
      <c r="D38" s="91"/>
      <c r="E38" s="90">
        <v>2091244</v>
      </c>
      <c r="F38" s="90" t="s">
        <v>409</v>
      </c>
      <c r="G38" s="90" t="s">
        <v>467</v>
      </c>
      <c r="H38" s="92" t="s">
        <v>281</v>
      </c>
      <c r="I38" s="56"/>
      <c r="J38" s="56"/>
      <c r="K38" s="56"/>
      <c r="AN38" s="56"/>
      <c r="AO38" s="56"/>
      <c r="AP38" s="56"/>
      <c r="AQ38" s="56"/>
    </row>
    <row r="39" spans="1:43" x14ac:dyDescent="0.2">
      <c r="A39" s="89" t="s">
        <v>455</v>
      </c>
      <c r="B39" s="90" t="s">
        <v>483</v>
      </c>
      <c r="C39" s="91" t="s">
        <v>452</v>
      </c>
      <c r="D39" s="91"/>
      <c r="E39" s="90">
        <v>2091372</v>
      </c>
      <c r="F39" s="90" t="s">
        <v>410</v>
      </c>
      <c r="G39" s="90" t="s">
        <v>468</v>
      </c>
      <c r="H39" s="92" t="s">
        <v>280</v>
      </c>
      <c r="I39" s="56"/>
      <c r="J39" s="56"/>
      <c r="K39" s="56"/>
      <c r="AN39" s="56"/>
      <c r="AO39" s="56"/>
      <c r="AP39" s="56"/>
      <c r="AQ39" s="56"/>
    </row>
    <row r="40" spans="1:43" x14ac:dyDescent="0.2">
      <c r="A40" s="89" t="s">
        <v>99</v>
      </c>
      <c r="B40" s="90" t="s">
        <v>482</v>
      </c>
      <c r="C40" s="91" t="s">
        <v>127</v>
      </c>
      <c r="D40" s="91"/>
      <c r="E40" s="90">
        <v>2091438</v>
      </c>
      <c r="F40" s="90" t="s">
        <v>33</v>
      </c>
      <c r="G40" s="90" t="s">
        <v>312</v>
      </c>
      <c r="H40" s="92" t="s">
        <v>280</v>
      </c>
      <c r="I40" s="56"/>
      <c r="J40" s="56"/>
      <c r="K40" s="56"/>
      <c r="AN40" s="56"/>
      <c r="AO40" s="56"/>
      <c r="AP40" s="56"/>
      <c r="AQ40" s="56"/>
    </row>
    <row r="41" spans="1:43" x14ac:dyDescent="0.2">
      <c r="A41" s="89" t="s">
        <v>455</v>
      </c>
      <c r="B41" s="90" t="s">
        <v>483</v>
      </c>
      <c r="C41" s="91" t="s">
        <v>450</v>
      </c>
      <c r="D41" s="91"/>
      <c r="E41" s="90">
        <v>2091496</v>
      </c>
      <c r="F41" s="90" t="s">
        <v>411</v>
      </c>
      <c r="G41" s="90" t="s">
        <v>461</v>
      </c>
      <c r="H41" s="92" t="s">
        <v>281</v>
      </c>
      <c r="I41" s="56"/>
      <c r="J41" s="56"/>
      <c r="K41" s="56"/>
      <c r="AN41" s="56"/>
      <c r="AO41" s="56"/>
      <c r="AP41" s="56"/>
      <c r="AQ41" s="56"/>
    </row>
    <row r="42" spans="1:43" x14ac:dyDescent="0.2">
      <c r="A42" s="89" t="s">
        <v>455</v>
      </c>
      <c r="B42" s="90" t="s">
        <v>483</v>
      </c>
      <c r="C42" s="91" t="s">
        <v>450</v>
      </c>
      <c r="D42" s="91"/>
      <c r="E42" s="90">
        <v>2091551</v>
      </c>
      <c r="F42" s="90" t="s">
        <v>412</v>
      </c>
      <c r="G42" s="90" t="s">
        <v>460</v>
      </c>
      <c r="H42" s="92" t="s">
        <v>280</v>
      </c>
      <c r="I42" s="56"/>
      <c r="J42" s="56"/>
      <c r="K42" s="56"/>
      <c r="AN42" s="56"/>
      <c r="AO42" s="56"/>
      <c r="AP42" s="56"/>
      <c r="AQ42" s="56"/>
    </row>
    <row r="43" spans="1:43" x14ac:dyDescent="0.2">
      <c r="A43" s="89" t="s">
        <v>455</v>
      </c>
      <c r="B43" s="11" t="s">
        <v>483</v>
      </c>
      <c r="C43" s="91" t="s">
        <v>451</v>
      </c>
      <c r="D43" s="91"/>
      <c r="E43" s="91">
        <v>2091565</v>
      </c>
      <c r="F43" s="90" t="s">
        <v>413</v>
      </c>
      <c r="G43" s="91" t="s">
        <v>466</v>
      </c>
      <c r="H43" s="92" t="s">
        <v>280</v>
      </c>
      <c r="I43" s="56"/>
      <c r="J43" s="56"/>
      <c r="K43" s="56"/>
      <c r="AN43" s="56"/>
      <c r="AO43" s="56"/>
      <c r="AP43" s="56"/>
      <c r="AQ43" s="56"/>
    </row>
    <row r="44" spans="1:43" x14ac:dyDescent="0.2">
      <c r="A44" s="89" t="s">
        <v>99</v>
      </c>
      <c r="B44" s="11" t="s">
        <v>482</v>
      </c>
      <c r="C44" s="91" t="s">
        <v>127</v>
      </c>
      <c r="D44" s="91"/>
      <c r="E44" s="90">
        <v>2091586</v>
      </c>
      <c r="F44" s="90" t="s">
        <v>108</v>
      </c>
      <c r="G44" s="90" t="s">
        <v>313</v>
      </c>
      <c r="H44" s="92" t="s">
        <v>280</v>
      </c>
      <c r="I44" s="56"/>
      <c r="J44" s="56"/>
      <c r="K44" s="56"/>
      <c r="AN44" s="56"/>
      <c r="AO44" s="56"/>
      <c r="AP44" s="56"/>
      <c r="AQ44" s="56"/>
    </row>
    <row r="45" spans="1:43" x14ac:dyDescent="0.2">
      <c r="A45" s="89" t="s">
        <v>99</v>
      </c>
      <c r="B45" s="90" t="s">
        <v>482</v>
      </c>
      <c r="C45" s="91" t="s">
        <v>127</v>
      </c>
      <c r="D45" s="91"/>
      <c r="E45" s="90">
        <v>2091587</v>
      </c>
      <c r="F45" s="90" t="s">
        <v>36</v>
      </c>
      <c r="G45" s="90" t="s">
        <v>314</v>
      </c>
      <c r="H45" s="92" t="s">
        <v>280</v>
      </c>
      <c r="I45" s="56"/>
      <c r="J45" s="56"/>
      <c r="K45" s="56"/>
      <c r="AN45" s="56"/>
      <c r="AO45" s="56"/>
      <c r="AP45" s="56"/>
      <c r="AQ45" s="56"/>
    </row>
    <row r="46" spans="1:43" x14ac:dyDescent="0.2">
      <c r="A46" s="89" t="s">
        <v>454</v>
      </c>
      <c r="B46" s="90" t="s">
        <v>483</v>
      </c>
      <c r="C46" s="91" t="s">
        <v>450</v>
      </c>
      <c r="D46" s="91"/>
      <c r="E46" s="90">
        <v>2091588</v>
      </c>
      <c r="F46" s="90" t="s">
        <v>414</v>
      </c>
      <c r="G46" s="90" t="s">
        <v>459</v>
      </c>
      <c r="H46" s="92" t="s">
        <v>280</v>
      </c>
      <c r="I46" s="56"/>
      <c r="J46" s="56"/>
      <c r="K46" s="56"/>
      <c r="AN46" s="56"/>
      <c r="AO46" s="56"/>
      <c r="AP46" s="56"/>
      <c r="AQ46" s="56"/>
    </row>
    <row r="47" spans="1:43" x14ac:dyDescent="0.2">
      <c r="A47" s="89" t="s">
        <v>457</v>
      </c>
      <c r="B47" s="11" t="s">
        <v>483</v>
      </c>
      <c r="C47" s="91" t="s">
        <v>453</v>
      </c>
      <c r="D47" s="91"/>
      <c r="E47" s="90">
        <v>2091708</v>
      </c>
      <c r="F47" s="90" t="s">
        <v>415</v>
      </c>
      <c r="G47" s="90" t="s">
        <v>469</v>
      </c>
      <c r="H47" s="92" t="s">
        <v>281</v>
      </c>
      <c r="I47" s="56"/>
      <c r="J47" s="56"/>
      <c r="K47" s="56"/>
      <c r="AN47" s="56"/>
      <c r="AO47" s="56"/>
      <c r="AP47" s="56"/>
      <c r="AQ47" s="56"/>
    </row>
    <row r="48" spans="1:43" x14ac:dyDescent="0.2">
      <c r="A48" s="89" t="s">
        <v>455</v>
      </c>
      <c r="B48" s="90" t="s">
        <v>483</v>
      </c>
      <c r="C48" s="91" t="s">
        <v>452</v>
      </c>
      <c r="D48" s="91"/>
      <c r="E48" s="90">
        <v>2091711</v>
      </c>
      <c r="F48" s="90" t="s">
        <v>416</v>
      </c>
      <c r="G48" s="90" t="s">
        <v>468</v>
      </c>
      <c r="H48" s="92" t="s">
        <v>280</v>
      </c>
      <c r="I48" s="56"/>
      <c r="J48" s="56"/>
      <c r="K48" s="56"/>
      <c r="AN48" s="56"/>
      <c r="AO48" s="56"/>
      <c r="AP48" s="56"/>
      <c r="AQ48" s="56"/>
    </row>
    <row r="49" spans="1:43" x14ac:dyDescent="0.2">
      <c r="A49" s="89" t="s">
        <v>99</v>
      </c>
      <c r="B49" s="90" t="s">
        <v>482</v>
      </c>
      <c r="C49" s="91" t="s">
        <v>127</v>
      </c>
      <c r="D49" s="91"/>
      <c r="E49" s="90">
        <v>2091864</v>
      </c>
      <c r="F49" s="90" t="s">
        <v>311</v>
      </c>
      <c r="G49" s="90" t="s">
        <v>315</v>
      </c>
      <c r="H49" s="92" t="s">
        <v>281</v>
      </c>
      <c r="I49" s="56"/>
      <c r="J49" s="56"/>
      <c r="K49" s="56"/>
      <c r="AN49" s="56"/>
      <c r="AO49" s="56"/>
      <c r="AP49" s="56"/>
      <c r="AQ49" s="56"/>
    </row>
    <row r="50" spans="1:43" x14ac:dyDescent="0.2">
      <c r="A50" s="11" t="s">
        <v>99</v>
      </c>
      <c r="B50" s="11" t="s">
        <v>482</v>
      </c>
      <c r="C50" s="91" t="s">
        <v>127</v>
      </c>
      <c r="D50" s="91"/>
      <c r="E50" s="91">
        <v>2091869</v>
      </c>
      <c r="F50" s="91" t="s">
        <v>110</v>
      </c>
      <c r="G50" s="91" t="s">
        <v>315</v>
      </c>
      <c r="H50" s="91" t="s">
        <v>280</v>
      </c>
    </row>
    <row r="51" spans="1:43" x14ac:dyDescent="0.2">
      <c r="A51" s="11" t="s">
        <v>454</v>
      </c>
      <c r="B51" s="11" t="s">
        <v>483</v>
      </c>
      <c r="C51" s="91" t="s">
        <v>450</v>
      </c>
      <c r="D51" s="91"/>
      <c r="E51" s="91">
        <v>2091896</v>
      </c>
      <c r="F51" s="91" t="s">
        <v>417</v>
      </c>
      <c r="G51" s="91" t="s">
        <v>460</v>
      </c>
      <c r="H51" s="91" t="s">
        <v>281</v>
      </c>
    </row>
    <row r="52" spans="1:43" x14ac:dyDescent="0.2">
      <c r="A52" s="11" t="s">
        <v>99</v>
      </c>
      <c r="B52" s="11" t="s">
        <v>482</v>
      </c>
      <c r="C52" s="91" t="s">
        <v>125</v>
      </c>
      <c r="D52" s="91"/>
      <c r="E52" s="91">
        <v>2092138</v>
      </c>
      <c r="F52" s="91" t="s">
        <v>111</v>
      </c>
      <c r="G52" s="91" t="s">
        <v>308</v>
      </c>
      <c r="H52" s="91" t="s">
        <v>281</v>
      </c>
    </row>
    <row r="53" spans="1:43" x14ac:dyDescent="0.2">
      <c r="A53" s="11" t="s">
        <v>455</v>
      </c>
      <c r="B53" s="11" t="s">
        <v>483</v>
      </c>
      <c r="C53" s="91" t="s">
        <v>450</v>
      </c>
      <c r="D53" s="91"/>
      <c r="E53" s="91">
        <v>2092175</v>
      </c>
      <c r="F53" s="91" t="s">
        <v>418</v>
      </c>
      <c r="G53" s="91" t="s">
        <v>460</v>
      </c>
      <c r="H53" s="91" t="s">
        <v>281</v>
      </c>
    </row>
    <row r="54" spans="1:43" x14ac:dyDescent="0.2">
      <c r="A54" s="11" t="s">
        <v>124</v>
      </c>
      <c r="B54" s="11" t="s">
        <v>482</v>
      </c>
      <c r="C54" s="91" t="s">
        <v>125</v>
      </c>
      <c r="D54" s="91"/>
      <c r="E54" s="91">
        <v>2092192</v>
      </c>
      <c r="F54" s="91" t="s">
        <v>316</v>
      </c>
      <c r="G54" s="91" t="s">
        <v>306</v>
      </c>
      <c r="H54" s="91" t="s">
        <v>282</v>
      </c>
    </row>
    <row r="55" spans="1:43" x14ac:dyDescent="0.2">
      <c r="A55" s="11" t="s">
        <v>455</v>
      </c>
      <c r="B55" s="11" t="s">
        <v>483</v>
      </c>
      <c r="C55" s="91" t="s">
        <v>451</v>
      </c>
      <c r="D55" s="91"/>
      <c r="E55" s="91">
        <v>2092219</v>
      </c>
      <c r="F55" s="91" t="s">
        <v>419</v>
      </c>
      <c r="G55" s="91" t="s">
        <v>460</v>
      </c>
      <c r="H55" s="91" t="s">
        <v>282</v>
      </c>
    </row>
    <row r="56" spans="1:43" x14ac:dyDescent="0.2">
      <c r="A56" s="11" t="s">
        <v>455</v>
      </c>
      <c r="B56" s="11" t="s">
        <v>483</v>
      </c>
      <c r="C56" s="91" t="s">
        <v>450</v>
      </c>
      <c r="D56" s="91"/>
      <c r="E56" s="91">
        <v>2092308</v>
      </c>
      <c r="F56" s="91" t="s">
        <v>420</v>
      </c>
      <c r="G56" s="91" t="s">
        <v>462</v>
      </c>
      <c r="H56" s="91" t="s">
        <v>281</v>
      </c>
    </row>
    <row r="57" spans="1:43" x14ac:dyDescent="0.2">
      <c r="A57" s="11" t="s">
        <v>455</v>
      </c>
      <c r="B57" s="11" t="s">
        <v>483</v>
      </c>
      <c r="C57" s="91" t="s">
        <v>451</v>
      </c>
      <c r="D57" s="91"/>
      <c r="E57" s="91">
        <v>2092309</v>
      </c>
      <c r="F57" s="91" t="s">
        <v>421</v>
      </c>
      <c r="G57" s="91" t="s">
        <v>470</v>
      </c>
      <c r="H57" s="91" t="s">
        <v>281</v>
      </c>
    </row>
    <row r="58" spans="1:43" x14ac:dyDescent="0.2">
      <c r="A58" s="11" t="s">
        <v>455</v>
      </c>
      <c r="B58" s="11" t="s">
        <v>483</v>
      </c>
      <c r="C58" s="91" t="s">
        <v>452</v>
      </c>
      <c r="D58" s="91"/>
      <c r="E58" s="91">
        <v>2092310</v>
      </c>
      <c r="F58" s="91" t="s">
        <v>422</v>
      </c>
      <c r="G58" s="91" t="s">
        <v>464</v>
      </c>
      <c r="H58" s="91" t="s">
        <v>281</v>
      </c>
    </row>
    <row r="59" spans="1:43" x14ac:dyDescent="0.2">
      <c r="A59" s="11" t="s">
        <v>124</v>
      </c>
      <c r="B59" s="11" t="s">
        <v>482</v>
      </c>
      <c r="C59" s="91" t="s">
        <v>125</v>
      </c>
      <c r="D59" s="91"/>
      <c r="E59" s="91">
        <v>2092359</v>
      </c>
      <c r="F59" s="91" t="s">
        <v>101</v>
      </c>
      <c r="G59" s="91" t="s">
        <v>306</v>
      </c>
      <c r="H59" s="91" t="s">
        <v>281</v>
      </c>
    </row>
    <row r="60" spans="1:43" x14ac:dyDescent="0.2">
      <c r="A60" s="11" t="s">
        <v>99</v>
      </c>
      <c r="B60" s="11" t="s">
        <v>482</v>
      </c>
      <c r="C60" s="43" t="s">
        <v>557</v>
      </c>
      <c r="D60" s="91"/>
      <c r="E60" s="91">
        <v>2092361</v>
      </c>
      <c r="F60" s="91" t="s">
        <v>39</v>
      </c>
      <c r="G60" s="91" t="s">
        <v>318</v>
      </c>
      <c r="H60" s="91" t="s">
        <v>281</v>
      </c>
    </row>
    <row r="61" spans="1:43" x14ac:dyDescent="0.2">
      <c r="A61" s="11" t="s">
        <v>99</v>
      </c>
      <c r="B61" s="11" t="s">
        <v>482</v>
      </c>
      <c r="C61" s="43" t="s">
        <v>557</v>
      </c>
      <c r="D61" s="91"/>
      <c r="E61" s="91">
        <v>2092362</v>
      </c>
      <c r="F61" s="91" t="s">
        <v>102</v>
      </c>
      <c r="G61" s="91" t="s">
        <v>319</v>
      </c>
      <c r="H61" s="91" t="s">
        <v>281</v>
      </c>
    </row>
    <row r="62" spans="1:43" x14ac:dyDescent="0.2">
      <c r="A62" s="11" t="s">
        <v>124</v>
      </c>
      <c r="B62" s="11" t="s">
        <v>482</v>
      </c>
      <c r="C62" s="43" t="s">
        <v>557</v>
      </c>
      <c r="D62" s="91"/>
      <c r="E62" s="91">
        <v>2092363</v>
      </c>
      <c r="F62" s="91" t="s">
        <v>41</v>
      </c>
      <c r="G62" s="91" t="s">
        <v>319</v>
      </c>
      <c r="H62" s="91" t="s">
        <v>281</v>
      </c>
    </row>
    <row r="63" spans="1:43" x14ac:dyDescent="0.2">
      <c r="A63" s="11" t="s">
        <v>99</v>
      </c>
      <c r="B63" s="11" t="s">
        <v>482</v>
      </c>
      <c r="C63" s="91" t="s">
        <v>127</v>
      </c>
      <c r="D63" s="91"/>
      <c r="E63" s="91">
        <v>2092366</v>
      </c>
      <c r="F63" s="91" t="s">
        <v>42</v>
      </c>
      <c r="G63" s="91" t="s">
        <v>309</v>
      </c>
      <c r="H63" s="91" t="s">
        <v>281</v>
      </c>
    </row>
    <row r="64" spans="1:43" x14ac:dyDescent="0.2">
      <c r="A64" s="11" t="s">
        <v>99</v>
      </c>
      <c r="B64" s="11" t="s">
        <v>482</v>
      </c>
      <c r="C64" s="91" t="s">
        <v>127</v>
      </c>
      <c r="D64" s="91"/>
      <c r="E64" s="91">
        <v>2092367</v>
      </c>
      <c r="F64" s="91" t="s">
        <v>317</v>
      </c>
      <c r="G64" s="91" t="s">
        <v>320</v>
      </c>
      <c r="H64" s="91" t="s">
        <v>281</v>
      </c>
    </row>
    <row r="65" spans="1:8" x14ac:dyDescent="0.2">
      <c r="A65" s="11" t="s">
        <v>99</v>
      </c>
      <c r="B65" s="11" t="s">
        <v>482</v>
      </c>
      <c r="C65" s="91" t="s">
        <v>127</v>
      </c>
      <c r="D65" s="91"/>
      <c r="E65" s="91">
        <v>2092437</v>
      </c>
      <c r="F65" s="91" t="s">
        <v>104</v>
      </c>
      <c r="G65" s="91" t="s">
        <v>314</v>
      </c>
      <c r="H65" s="91" t="s">
        <v>281</v>
      </c>
    </row>
    <row r="66" spans="1:8" x14ac:dyDescent="0.2">
      <c r="A66" s="11" t="s">
        <v>455</v>
      </c>
      <c r="B66" s="11" t="s">
        <v>483</v>
      </c>
      <c r="C66" s="91" t="s">
        <v>450</v>
      </c>
      <c r="D66" s="91"/>
      <c r="E66" s="91">
        <v>2092446</v>
      </c>
      <c r="F66" s="91" t="s">
        <v>423</v>
      </c>
      <c r="G66" s="91" t="s">
        <v>471</v>
      </c>
      <c r="H66" s="91" t="s">
        <v>281</v>
      </c>
    </row>
    <row r="67" spans="1:8" x14ac:dyDescent="0.2">
      <c r="A67" s="11" t="s">
        <v>455</v>
      </c>
      <c r="B67" s="11" t="s">
        <v>483</v>
      </c>
      <c r="C67" s="91" t="s">
        <v>451</v>
      </c>
      <c r="D67" s="91"/>
      <c r="E67" s="91">
        <v>2092447</v>
      </c>
      <c r="F67" s="91" t="s">
        <v>424</v>
      </c>
      <c r="G67" s="91" t="s">
        <v>472</v>
      </c>
      <c r="H67" s="91" t="s">
        <v>281</v>
      </c>
    </row>
    <row r="68" spans="1:8" x14ac:dyDescent="0.2">
      <c r="A68" s="11" t="s">
        <v>458</v>
      </c>
      <c r="B68" s="11" t="s">
        <v>483</v>
      </c>
      <c r="C68" s="91" t="s">
        <v>452</v>
      </c>
      <c r="D68" s="91"/>
      <c r="E68" s="91">
        <v>2092457</v>
      </c>
      <c r="F68" s="91" t="s">
        <v>425</v>
      </c>
      <c r="G68" s="91" t="s">
        <v>473</v>
      </c>
      <c r="H68" s="91" t="s">
        <v>281</v>
      </c>
    </row>
    <row r="69" spans="1:8" x14ac:dyDescent="0.2">
      <c r="A69" s="11" t="s">
        <v>455</v>
      </c>
      <c r="B69" s="11" t="s">
        <v>483</v>
      </c>
      <c r="C69" s="91" t="s">
        <v>450</v>
      </c>
      <c r="D69" s="91"/>
      <c r="E69" s="91">
        <v>2092781</v>
      </c>
      <c r="F69" s="91" t="s">
        <v>426</v>
      </c>
      <c r="G69" s="91" t="s">
        <v>474</v>
      </c>
      <c r="H69" s="91" t="s">
        <v>281</v>
      </c>
    </row>
    <row r="70" spans="1:8" x14ac:dyDescent="0.2">
      <c r="A70" s="11" t="s">
        <v>457</v>
      </c>
      <c r="B70" s="11" t="s">
        <v>483</v>
      </c>
      <c r="C70" s="91" t="s">
        <v>453</v>
      </c>
      <c r="D70" s="91"/>
      <c r="E70" s="91">
        <v>2092784</v>
      </c>
      <c r="F70" s="91" t="s">
        <v>427</v>
      </c>
      <c r="G70" s="91" t="s">
        <v>470</v>
      </c>
      <c r="H70" s="91" t="s">
        <v>281</v>
      </c>
    </row>
    <row r="71" spans="1:8" x14ac:dyDescent="0.2">
      <c r="A71" s="11" t="s">
        <v>458</v>
      </c>
      <c r="B71" s="11" t="s">
        <v>483</v>
      </c>
      <c r="C71" s="91" t="s">
        <v>452</v>
      </c>
      <c r="D71" s="91"/>
      <c r="E71" s="91">
        <v>2092790</v>
      </c>
      <c r="F71" s="91" t="s">
        <v>428</v>
      </c>
      <c r="G71" s="91" t="s">
        <v>473</v>
      </c>
      <c r="H71" s="91" t="s">
        <v>280</v>
      </c>
    </row>
    <row r="72" spans="1:8" x14ac:dyDescent="0.2">
      <c r="A72" s="11" t="s">
        <v>458</v>
      </c>
      <c r="B72" s="11" t="s">
        <v>483</v>
      </c>
      <c r="C72" s="91" t="s">
        <v>452</v>
      </c>
      <c r="D72" s="91"/>
      <c r="E72" s="91">
        <v>2092797</v>
      </c>
      <c r="F72" s="91" t="s">
        <v>429</v>
      </c>
      <c r="G72" s="91" t="s">
        <v>475</v>
      </c>
      <c r="H72" s="91" t="s">
        <v>280</v>
      </c>
    </row>
    <row r="73" spans="1:8" x14ac:dyDescent="0.2">
      <c r="A73" s="11" t="s">
        <v>455</v>
      </c>
      <c r="B73" s="11" t="s">
        <v>483</v>
      </c>
      <c r="C73" s="91" t="s">
        <v>451</v>
      </c>
      <c r="D73" s="91"/>
      <c r="E73" s="91">
        <v>2092923</v>
      </c>
      <c r="F73" s="91" t="s">
        <v>430</v>
      </c>
      <c r="G73" s="91" t="s">
        <v>476</v>
      </c>
      <c r="H73" s="91" t="s">
        <v>280</v>
      </c>
    </row>
    <row r="74" spans="1:8" x14ac:dyDescent="0.2">
      <c r="A74" s="11" t="s">
        <v>99</v>
      </c>
      <c r="B74" s="11" t="s">
        <v>482</v>
      </c>
      <c r="C74" s="91" t="s">
        <v>127</v>
      </c>
      <c r="D74" s="91"/>
      <c r="E74" s="91">
        <v>2092936</v>
      </c>
      <c r="F74" s="91" t="s">
        <v>252</v>
      </c>
      <c r="G74" s="91" t="s">
        <v>312</v>
      </c>
      <c r="H74" s="91" t="s">
        <v>281</v>
      </c>
    </row>
    <row r="75" spans="1:8" x14ac:dyDescent="0.2">
      <c r="A75" s="11" t="s">
        <v>455</v>
      </c>
      <c r="B75" s="11" t="s">
        <v>483</v>
      </c>
      <c r="C75" s="91" t="s">
        <v>452</v>
      </c>
      <c r="D75" s="91"/>
      <c r="E75" s="91">
        <v>2092975</v>
      </c>
      <c r="F75" s="91" t="s">
        <v>431</v>
      </c>
      <c r="G75" s="91" t="s">
        <v>460</v>
      </c>
      <c r="H75" s="91" t="s">
        <v>280</v>
      </c>
    </row>
    <row r="76" spans="1:8" x14ac:dyDescent="0.2">
      <c r="A76" s="11" t="s">
        <v>458</v>
      </c>
      <c r="B76" s="11" t="s">
        <v>483</v>
      </c>
      <c r="C76" s="91" t="s">
        <v>452</v>
      </c>
      <c r="D76" s="91"/>
      <c r="E76" s="91">
        <v>2092982</v>
      </c>
      <c r="F76" s="91" t="s">
        <v>432</v>
      </c>
      <c r="G76" s="91" t="s">
        <v>477</v>
      </c>
      <c r="H76" s="91" t="s">
        <v>280</v>
      </c>
    </row>
    <row r="77" spans="1:8" x14ac:dyDescent="0.2">
      <c r="A77" s="11" t="s">
        <v>99</v>
      </c>
      <c r="B77" s="11" t="s">
        <v>482</v>
      </c>
      <c r="C77" s="43" t="s">
        <v>557</v>
      </c>
      <c r="D77" s="91"/>
      <c r="E77" s="91">
        <v>2093011</v>
      </c>
      <c r="F77" s="91" t="s">
        <v>115</v>
      </c>
      <c r="G77" s="91" t="s">
        <v>319</v>
      </c>
      <c r="H77" s="91" t="s">
        <v>280</v>
      </c>
    </row>
    <row r="78" spans="1:8" x14ac:dyDescent="0.2">
      <c r="A78" s="11" t="s">
        <v>99</v>
      </c>
      <c r="B78" s="11" t="s">
        <v>482</v>
      </c>
      <c r="C78" s="91" t="s">
        <v>125</v>
      </c>
      <c r="D78" s="91"/>
      <c r="E78" s="91">
        <v>2093014</v>
      </c>
      <c r="F78" s="91" t="s">
        <v>44</v>
      </c>
      <c r="G78" s="91" t="s">
        <v>306</v>
      </c>
      <c r="H78" s="91" t="s">
        <v>280</v>
      </c>
    </row>
    <row r="79" spans="1:8" x14ac:dyDescent="0.2">
      <c r="A79" s="11" t="s">
        <v>124</v>
      </c>
      <c r="B79" s="11" t="s">
        <v>482</v>
      </c>
      <c r="C79" s="91" t="s">
        <v>125</v>
      </c>
      <c r="D79" s="91"/>
      <c r="E79" s="91">
        <v>2093017</v>
      </c>
      <c r="F79" s="91" t="s">
        <v>116</v>
      </c>
      <c r="G79" s="91" t="s">
        <v>306</v>
      </c>
      <c r="H79" s="91" t="s">
        <v>280</v>
      </c>
    </row>
    <row r="80" spans="1:8" x14ac:dyDescent="0.2">
      <c r="A80" s="11" t="s">
        <v>455</v>
      </c>
      <c r="B80" s="11" t="s">
        <v>483</v>
      </c>
      <c r="C80" s="91" t="s">
        <v>451</v>
      </c>
      <c r="D80" s="91"/>
      <c r="E80" s="91">
        <v>2093034</v>
      </c>
      <c r="F80" s="91" t="s">
        <v>433</v>
      </c>
      <c r="G80" s="91" t="s">
        <v>460</v>
      </c>
      <c r="H80" s="91" t="s">
        <v>280</v>
      </c>
    </row>
    <row r="81" spans="1:8" x14ac:dyDescent="0.2">
      <c r="A81" s="11" t="s">
        <v>456</v>
      </c>
      <c r="B81" s="11" t="s">
        <v>483</v>
      </c>
      <c r="C81" s="91" t="s">
        <v>453</v>
      </c>
      <c r="D81" s="91"/>
      <c r="E81" s="91">
        <v>2093041</v>
      </c>
      <c r="F81" s="91" t="s">
        <v>434</v>
      </c>
      <c r="G81" s="91" t="s">
        <v>467</v>
      </c>
      <c r="H81" s="91" t="s">
        <v>280</v>
      </c>
    </row>
    <row r="82" spans="1:8" x14ac:dyDescent="0.2">
      <c r="A82" s="11" t="s">
        <v>456</v>
      </c>
      <c r="B82" s="11" t="s">
        <v>483</v>
      </c>
      <c r="C82" s="91" t="s">
        <v>453</v>
      </c>
      <c r="D82" s="91"/>
      <c r="E82" s="91">
        <v>2093092</v>
      </c>
      <c r="F82" s="91" t="s">
        <v>435</v>
      </c>
      <c r="G82" s="91" t="s">
        <v>478</v>
      </c>
      <c r="H82" s="91" t="s">
        <v>281</v>
      </c>
    </row>
    <row r="83" spans="1:8" x14ac:dyDescent="0.2">
      <c r="A83" s="11" t="s">
        <v>99</v>
      </c>
      <c r="B83" s="11" t="s">
        <v>482</v>
      </c>
      <c r="C83" s="43" t="s">
        <v>557</v>
      </c>
      <c r="D83" s="91"/>
      <c r="E83" s="91">
        <v>2093110</v>
      </c>
      <c r="F83" s="91" t="s">
        <v>6</v>
      </c>
      <c r="G83" s="91" t="s">
        <v>321</v>
      </c>
      <c r="H83" s="91" t="s">
        <v>280</v>
      </c>
    </row>
    <row r="84" spans="1:8" x14ac:dyDescent="0.2">
      <c r="A84" s="11" t="s">
        <v>455</v>
      </c>
      <c r="B84" s="11" t="s">
        <v>483</v>
      </c>
      <c r="C84" s="91" t="s">
        <v>451</v>
      </c>
      <c r="D84" s="91"/>
      <c r="E84" s="91">
        <v>2093123</v>
      </c>
      <c r="F84" s="91" t="s">
        <v>436</v>
      </c>
      <c r="G84" s="91" t="s">
        <v>460</v>
      </c>
      <c r="H84" s="91" t="s">
        <v>280</v>
      </c>
    </row>
    <row r="85" spans="1:8" x14ac:dyDescent="0.2">
      <c r="A85" s="11" t="s">
        <v>455</v>
      </c>
      <c r="B85" s="11" t="s">
        <v>483</v>
      </c>
      <c r="C85" s="91" t="s">
        <v>451</v>
      </c>
      <c r="D85" s="91"/>
      <c r="E85" s="91">
        <v>2093130</v>
      </c>
      <c r="F85" s="91" t="s">
        <v>437</v>
      </c>
      <c r="G85" s="91" t="s">
        <v>476</v>
      </c>
      <c r="H85" s="91" t="s">
        <v>281</v>
      </c>
    </row>
    <row r="86" spans="1:8" x14ac:dyDescent="0.2">
      <c r="A86" s="11" t="s">
        <v>454</v>
      </c>
      <c r="B86" s="11" t="s">
        <v>483</v>
      </c>
      <c r="C86" s="91" t="s">
        <v>450</v>
      </c>
      <c r="D86" s="91"/>
      <c r="E86" s="91">
        <v>2093137</v>
      </c>
      <c r="F86" s="91" t="s">
        <v>438</v>
      </c>
      <c r="G86" s="91" t="s">
        <v>459</v>
      </c>
      <c r="H86" s="91" t="s">
        <v>281</v>
      </c>
    </row>
    <row r="87" spans="1:8" x14ac:dyDescent="0.2">
      <c r="A87" s="11" t="s">
        <v>99</v>
      </c>
      <c r="B87" s="11" t="s">
        <v>482</v>
      </c>
      <c r="C87" s="43" t="s">
        <v>557</v>
      </c>
      <c r="D87" s="91"/>
      <c r="E87" s="91">
        <v>2093223</v>
      </c>
      <c r="F87" s="91" t="s">
        <v>117</v>
      </c>
      <c r="G87" s="91" t="s">
        <v>319</v>
      </c>
      <c r="H87" s="91" t="s">
        <v>281</v>
      </c>
    </row>
    <row r="88" spans="1:8" x14ac:dyDescent="0.2">
      <c r="A88" s="11" t="s">
        <v>457</v>
      </c>
      <c r="B88" s="11" t="s">
        <v>483</v>
      </c>
      <c r="C88" s="91" t="s">
        <v>453</v>
      </c>
      <c r="D88" s="91"/>
      <c r="E88" s="91">
        <v>2093259</v>
      </c>
      <c r="F88" s="91" t="s">
        <v>439</v>
      </c>
      <c r="G88" s="91" t="s">
        <v>470</v>
      </c>
      <c r="H88" s="91" t="s">
        <v>280</v>
      </c>
    </row>
    <row r="89" spans="1:8" x14ac:dyDescent="0.2">
      <c r="A89" s="11" t="s">
        <v>99</v>
      </c>
      <c r="B89" s="11" t="s">
        <v>482</v>
      </c>
      <c r="C89" s="43" t="s">
        <v>557</v>
      </c>
      <c r="D89" s="91"/>
      <c r="E89" s="91">
        <v>2093373</v>
      </c>
      <c r="F89" s="91" t="s">
        <v>118</v>
      </c>
      <c r="G89" s="91" t="s">
        <v>318</v>
      </c>
      <c r="H89" s="91" t="s">
        <v>280</v>
      </c>
    </row>
    <row r="90" spans="1:8" x14ac:dyDescent="0.2">
      <c r="A90" s="11" t="s">
        <v>455</v>
      </c>
      <c r="B90" s="11" t="s">
        <v>483</v>
      </c>
      <c r="C90" s="91" t="s">
        <v>451</v>
      </c>
      <c r="D90" s="91"/>
      <c r="E90" s="91">
        <v>2093375</v>
      </c>
      <c r="F90" s="91" t="s">
        <v>44</v>
      </c>
      <c r="G90" s="91" t="s">
        <v>470</v>
      </c>
      <c r="H90" s="91" t="s">
        <v>280</v>
      </c>
    </row>
    <row r="91" spans="1:8" x14ac:dyDescent="0.2">
      <c r="A91" s="11" t="s">
        <v>457</v>
      </c>
      <c r="B91" s="11" t="s">
        <v>483</v>
      </c>
      <c r="C91" s="91" t="s">
        <v>453</v>
      </c>
      <c r="D91" s="91"/>
      <c r="E91" s="91">
        <v>2093377</v>
      </c>
      <c r="F91" s="91" t="s">
        <v>440</v>
      </c>
      <c r="G91" s="91" t="s">
        <v>467</v>
      </c>
      <c r="H91" s="91" t="s">
        <v>282</v>
      </c>
    </row>
    <row r="92" spans="1:8" x14ac:dyDescent="0.2">
      <c r="A92" s="11" t="s">
        <v>99</v>
      </c>
      <c r="B92" s="11" t="s">
        <v>482</v>
      </c>
      <c r="C92" s="91" t="s">
        <v>125</v>
      </c>
      <c r="D92" s="91"/>
      <c r="E92" s="91">
        <v>2093389</v>
      </c>
      <c r="F92" s="91" t="s">
        <v>45</v>
      </c>
      <c r="G92" s="91" t="s">
        <v>308</v>
      </c>
      <c r="H92" s="91" t="s">
        <v>281</v>
      </c>
    </row>
    <row r="93" spans="1:8" x14ac:dyDescent="0.2">
      <c r="A93" s="11" t="s">
        <v>123</v>
      </c>
      <c r="B93" s="11" t="s">
        <v>482</v>
      </c>
      <c r="C93" s="91" t="s">
        <v>125</v>
      </c>
      <c r="D93" s="91"/>
      <c r="E93" s="91">
        <v>2093457</v>
      </c>
      <c r="F93" s="91" t="s">
        <v>46</v>
      </c>
      <c r="G93" s="91" t="s">
        <v>306</v>
      </c>
      <c r="H93" s="91" t="s">
        <v>281</v>
      </c>
    </row>
    <row r="94" spans="1:8" x14ac:dyDescent="0.2">
      <c r="A94" s="11" t="s">
        <v>99</v>
      </c>
      <c r="B94" s="11" t="s">
        <v>482</v>
      </c>
      <c r="C94" s="43" t="s">
        <v>557</v>
      </c>
      <c r="D94" s="91"/>
      <c r="E94" s="91">
        <v>2093564</v>
      </c>
      <c r="F94" s="91" t="s">
        <v>105</v>
      </c>
      <c r="G94" s="91" t="s">
        <v>318</v>
      </c>
      <c r="H94" s="91" t="s">
        <v>281</v>
      </c>
    </row>
    <row r="95" spans="1:8" x14ac:dyDescent="0.2">
      <c r="A95" s="11" t="s">
        <v>99</v>
      </c>
      <c r="B95" s="11" t="s">
        <v>482</v>
      </c>
      <c r="C95" s="91" t="s">
        <v>127</v>
      </c>
      <c r="D95" s="91"/>
      <c r="E95" s="91">
        <v>2093570</v>
      </c>
      <c r="F95" s="91" t="s">
        <v>106</v>
      </c>
      <c r="G95" s="91" t="s">
        <v>322</v>
      </c>
      <c r="H95" s="91" t="s">
        <v>281</v>
      </c>
    </row>
    <row r="96" spans="1:8" x14ac:dyDescent="0.2">
      <c r="A96" s="11" t="s">
        <v>123</v>
      </c>
      <c r="B96" s="11" t="s">
        <v>482</v>
      </c>
      <c r="C96" s="91" t="s">
        <v>125</v>
      </c>
      <c r="D96" s="91"/>
      <c r="E96" s="91">
        <v>2093669</v>
      </c>
      <c r="F96" s="91" t="s">
        <v>119</v>
      </c>
      <c r="G96" s="91" t="s">
        <v>306</v>
      </c>
      <c r="H96" s="91" t="s">
        <v>280</v>
      </c>
    </row>
    <row r="97" spans="1:8" x14ac:dyDescent="0.2">
      <c r="A97" s="11" t="s">
        <v>455</v>
      </c>
      <c r="B97" s="11" t="s">
        <v>483</v>
      </c>
      <c r="C97" s="91" t="s">
        <v>450</v>
      </c>
      <c r="D97" s="91"/>
      <c r="E97" s="91">
        <v>2093677</v>
      </c>
      <c r="F97" s="91" t="s">
        <v>441</v>
      </c>
      <c r="G97" s="91" t="s">
        <v>461</v>
      </c>
      <c r="H97" s="91" t="s">
        <v>282</v>
      </c>
    </row>
    <row r="98" spans="1:8" x14ac:dyDescent="0.2">
      <c r="A98" s="11" t="s">
        <v>123</v>
      </c>
      <c r="B98" s="11" t="s">
        <v>482</v>
      </c>
      <c r="C98" s="43" t="s">
        <v>557</v>
      </c>
      <c r="D98" s="91"/>
      <c r="E98" s="91">
        <v>2093678</v>
      </c>
      <c r="F98" s="91" t="s">
        <v>121</v>
      </c>
      <c r="G98" s="91" t="s">
        <v>319</v>
      </c>
      <c r="H98" s="91" t="s">
        <v>282</v>
      </c>
    </row>
    <row r="99" spans="1:8" x14ac:dyDescent="0.2">
      <c r="A99" s="11" t="s">
        <v>457</v>
      </c>
      <c r="B99" s="11" t="s">
        <v>483</v>
      </c>
      <c r="C99" s="91" t="s">
        <v>453</v>
      </c>
      <c r="D99" s="91"/>
      <c r="E99" s="91">
        <v>2093727</v>
      </c>
      <c r="F99" s="91" t="s">
        <v>442</v>
      </c>
      <c r="G99" s="91" t="s">
        <v>467</v>
      </c>
      <c r="H99" s="91" t="s">
        <v>280</v>
      </c>
    </row>
    <row r="100" spans="1:8" x14ac:dyDescent="0.2">
      <c r="A100" s="11" t="s">
        <v>99</v>
      </c>
      <c r="B100" s="11" t="s">
        <v>482</v>
      </c>
      <c r="C100" s="91" t="s">
        <v>125</v>
      </c>
      <c r="D100" s="91"/>
      <c r="E100" s="91">
        <v>2093747</v>
      </c>
      <c r="F100" s="91" t="s">
        <v>120</v>
      </c>
      <c r="G100" s="91" t="s">
        <v>308</v>
      </c>
      <c r="H100" s="91" t="s">
        <v>282</v>
      </c>
    </row>
    <row r="101" spans="1:8" x14ac:dyDescent="0.2">
      <c r="A101" s="11" t="s">
        <v>455</v>
      </c>
      <c r="B101" s="11" t="s">
        <v>483</v>
      </c>
      <c r="C101" s="91" t="s">
        <v>452</v>
      </c>
      <c r="D101" s="91"/>
      <c r="E101" s="91">
        <v>2093749</v>
      </c>
      <c r="F101" s="91" t="s">
        <v>443</v>
      </c>
      <c r="G101" s="91" t="s">
        <v>479</v>
      </c>
      <c r="H101" s="91" t="s">
        <v>281</v>
      </c>
    </row>
    <row r="102" spans="1:8" x14ac:dyDescent="0.2">
      <c r="A102" s="11" t="s">
        <v>455</v>
      </c>
      <c r="B102" s="11" t="s">
        <v>483</v>
      </c>
      <c r="C102" s="91" t="s">
        <v>452</v>
      </c>
      <c r="D102" s="91"/>
      <c r="E102" s="91">
        <v>2093808</v>
      </c>
      <c r="F102" s="91" t="s">
        <v>444</v>
      </c>
      <c r="G102" s="91" t="s">
        <v>480</v>
      </c>
      <c r="H102" s="91" t="s">
        <v>280</v>
      </c>
    </row>
    <row r="103" spans="1:8" x14ac:dyDescent="0.2">
      <c r="A103" s="11" t="s">
        <v>99</v>
      </c>
      <c r="B103" s="11" t="s">
        <v>482</v>
      </c>
      <c r="C103" s="91" t="s">
        <v>127</v>
      </c>
      <c r="D103" s="91"/>
      <c r="E103" s="91">
        <v>2093815</v>
      </c>
      <c r="F103" s="91" t="s">
        <v>103</v>
      </c>
      <c r="G103" s="91" t="s">
        <v>309</v>
      </c>
      <c r="H103" s="91" t="s">
        <v>281</v>
      </c>
    </row>
    <row r="104" spans="1:8" x14ac:dyDescent="0.2">
      <c r="A104" s="11" t="s">
        <v>455</v>
      </c>
      <c r="B104" s="11" t="s">
        <v>483</v>
      </c>
      <c r="C104" s="91" t="s">
        <v>450</v>
      </c>
      <c r="D104" s="91"/>
      <c r="E104" s="91">
        <v>209003824</v>
      </c>
      <c r="F104" s="91" t="s">
        <v>445</v>
      </c>
      <c r="G104" s="91" t="s">
        <v>471</v>
      </c>
      <c r="H104" s="91" t="s">
        <v>280</v>
      </c>
    </row>
    <row r="105" spans="1:8" x14ac:dyDescent="0.2">
      <c r="A105" s="11" t="s">
        <v>455</v>
      </c>
      <c r="B105" s="11" t="s">
        <v>483</v>
      </c>
      <c r="C105" s="91" t="s">
        <v>450</v>
      </c>
      <c r="D105" s="91"/>
      <c r="E105" s="91">
        <v>209003825</v>
      </c>
      <c r="F105" s="91" t="s">
        <v>446</v>
      </c>
      <c r="G105" s="91" t="s">
        <v>474</v>
      </c>
      <c r="H105" s="91" t="s">
        <v>280</v>
      </c>
    </row>
    <row r="106" spans="1:8" x14ac:dyDescent="0.2">
      <c r="A106" s="11" t="s">
        <v>455</v>
      </c>
      <c r="B106" s="11" t="s">
        <v>483</v>
      </c>
      <c r="C106" s="91" t="s">
        <v>451</v>
      </c>
      <c r="D106" s="91"/>
      <c r="E106" s="91">
        <v>209003827</v>
      </c>
      <c r="F106" s="91" t="s">
        <v>447</v>
      </c>
      <c r="G106" s="91" t="s">
        <v>476</v>
      </c>
      <c r="H106" s="91" t="s">
        <v>280</v>
      </c>
    </row>
    <row r="107" spans="1:8" x14ac:dyDescent="0.2">
      <c r="A107" s="11" t="s">
        <v>456</v>
      </c>
      <c r="B107" s="11" t="s">
        <v>483</v>
      </c>
      <c r="C107" s="91" t="s">
        <v>453</v>
      </c>
      <c r="D107" s="91"/>
      <c r="E107" s="91">
        <v>209003838</v>
      </c>
      <c r="F107" s="91" t="s">
        <v>448</v>
      </c>
      <c r="G107" s="91" t="s">
        <v>478</v>
      </c>
      <c r="H107" s="91" t="s">
        <v>280</v>
      </c>
    </row>
    <row r="108" spans="1:8" x14ac:dyDescent="0.2">
      <c r="A108" s="11" t="s">
        <v>99</v>
      </c>
      <c r="B108" s="11" t="s">
        <v>482</v>
      </c>
      <c r="C108" s="91" t="s">
        <v>127</v>
      </c>
      <c r="D108" s="91"/>
      <c r="E108" s="91">
        <v>209003840</v>
      </c>
      <c r="F108" s="91" t="s">
        <v>323</v>
      </c>
      <c r="G108" s="91" t="s">
        <v>309</v>
      </c>
      <c r="H108" s="91" t="s">
        <v>282</v>
      </c>
    </row>
    <row r="109" spans="1:8" x14ac:dyDescent="0.2">
      <c r="A109" s="11" t="s">
        <v>455</v>
      </c>
      <c r="B109" s="11" t="s">
        <v>483</v>
      </c>
      <c r="C109" s="91" t="s">
        <v>452</v>
      </c>
      <c r="D109" s="91"/>
      <c r="E109" s="91">
        <v>209003847</v>
      </c>
      <c r="F109" s="91" t="s">
        <v>449</v>
      </c>
      <c r="G109" s="91" t="s">
        <v>460</v>
      </c>
      <c r="H109" s="91" t="s">
        <v>281</v>
      </c>
    </row>
  </sheetData>
  <autoFilter ref="A3:BR109" xr:uid="{92596821-9323-4AB9-9704-8A4BCAB3EFEE}">
    <sortState xmlns:xlrd2="http://schemas.microsoft.com/office/spreadsheetml/2017/richdata2" ref="A4:BR49">
      <sortCondition ref="A3:A49"/>
    </sortState>
  </autoFilter>
  <conditionalFormatting sqref="H4:AM46">
    <cfRule type="cellIs" dxfId="14" priority="4" operator="lessThan">
      <formula>1</formula>
    </cfRule>
  </conditionalFormatting>
  <conditionalFormatting sqref="I4:AM109">
    <cfRule type="cellIs" dxfId="13" priority="2" operator="lessThan">
      <formula>1</formula>
    </cfRule>
  </conditionalFormatting>
  <conditionalFormatting sqref="AN4:BR109">
    <cfRule type="cellIs" dxfId="12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05BC-9E66-42F3-A45D-68FE204605B3}">
  <dimension ref="A1:DU112"/>
  <sheetViews>
    <sheetView showGridLines="0" zoomScale="80" zoomScaleNormal="80" workbookViewId="0">
      <pane xSplit="5" topLeftCell="DO1" activePane="topRight" state="frozen"/>
      <selection pane="topRight" activeCell="C13" sqref="C13"/>
    </sheetView>
  </sheetViews>
  <sheetFormatPr defaultColWidth="10.76171875" defaultRowHeight="15" x14ac:dyDescent="0.2"/>
  <cols>
    <col min="1" max="1" width="23.5390625" bestFit="1" customWidth="1"/>
    <col min="2" max="2" width="13.5859375" bestFit="1" customWidth="1"/>
    <col min="3" max="3" width="25.69140625" bestFit="1" customWidth="1"/>
    <col min="5" max="5" width="37.39453125" bestFit="1" customWidth="1"/>
    <col min="6" max="6" width="18.96484375" customWidth="1"/>
    <col min="7" max="7" width="11.02734375" bestFit="1" customWidth="1"/>
    <col min="80" max="82" width="11.02734375" customWidth="1"/>
    <col min="117" max="117" width="11.02734375" customWidth="1"/>
    <col min="118" max="120" width="12.10546875" customWidth="1"/>
    <col min="121" max="121" width="11.1640625" customWidth="1"/>
  </cols>
  <sheetData>
    <row r="1" spans="1:125" x14ac:dyDescent="0.2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</row>
    <row r="2" spans="1:125" x14ac:dyDescent="0.2">
      <c r="H2" s="7">
        <f>+H5/$AS$5</f>
        <v>2.43856251680452E-2</v>
      </c>
      <c r="I2" s="7">
        <f>+I5/$AS$5</f>
        <v>3.3950059585319547E-2</v>
      </c>
      <c r="J2" s="7">
        <f t="shared" ref="J2:AL2" si="0">+J5/$AS$5</f>
        <v>3.1588748399580535E-2</v>
      </c>
      <c r="K2" s="7">
        <f t="shared" si="0"/>
        <v>3.0344941230570611E-2</v>
      </c>
      <c r="L2" s="7">
        <f t="shared" si="0"/>
        <v>3.31093654618329E-2</v>
      </c>
      <c r="M2" s="7">
        <f t="shared" si="0"/>
        <v>2.9811415337873532E-2</v>
      </c>
      <c r="N2" s="7">
        <f t="shared" si="0"/>
        <v>1.9015727169718787E-2</v>
      </c>
      <c r="O2" s="7">
        <f t="shared" si="0"/>
        <v>2.8200070655324497E-2</v>
      </c>
      <c r="P2" s="7">
        <f t="shared" si="0"/>
        <v>3.2917353850033727E-2</v>
      </c>
      <c r="Q2" s="7">
        <f t="shared" si="0"/>
        <v>2.8639695781644929E-2</v>
      </c>
      <c r="R2" s="7">
        <f t="shared" si="0"/>
        <v>3.1960264240887395E-2</v>
      </c>
      <c r="S2" s="7">
        <f t="shared" si="0"/>
        <v>3.3832423818973119E-2</v>
      </c>
      <c r="T2" s="7">
        <f t="shared" si="0"/>
        <v>3.5662233666162453E-2</v>
      </c>
      <c r="U2" s="7">
        <f t="shared" si="0"/>
        <v>1.8346781516385628E-2</v>
      </c>
      <c r="V2" s="7">
        <f t="shared" si="0"/>
        <v>2.9330594283269201E-2</v>
      </c>
      <c r="W2" s="7">
        <f t="shared" si="0"/>
        <v>3.438451508031657E-2</v>
      </c>
      <c r="X2" s="7">
        <f t="shared" si="0"/>
        <v>3.1376585209981774E-2</v>
      </c>
      <c r="Y2" s="7">
        <f t="shared" si="0"/>
        <v>3.0660242214546853E-2</v>
      </c>
      <c r="Z2" s="7">
        <f t="shared" si="0"/>
        <v>3.2219184326705334E-2</v>
      </c>
      <c r="AA2" s="7">
        <f t="shared" si="0"/>
        <v>3.3739677704552634E-2</v>
      </c>
      <c r="AB2" s="7">
        <f t="shared" si="0"/>
        <v>1.7848024710039413E-2</v>
      </c>
      <c r="AC2" s="7">
        <f t="shared" si="0"/>
        <v>3.0306619649483689E-2</v>
      </c>
      <c r="AD2" s="7">
        <f t="shared" si="0"/>
        <v>3.3378278553421153E-2</v>
      </c>
      <c r="AE2" s="7">
        <f t="shared" si="0"/>
        <v>3.211170749422694E-2</v>
      </c>
      <c r="AF2" s="7">
        <f t="shared" si="0"/>
        <v>2.8771277980528778E-2</v>
      </c>
      <c r="AG2" s="7">
        <f t="shared" si="0"/>
        <v>3.2709973056509745E-2</v>
      </c>
      <c r="AH2" s="7">
        <f t="shared" si="0"/>
        <v>3.4165977287036305E-2</v>
      </c>
      <c r="AI2" s="7">
        <f t="shared" si="0"/>
        <v>1.8114989508205098E-2</v>
      </c>
      <c r="AJ2" s="7">
        <f t="shared" si="0"/>
        <v>8.2970256932746095E-2</v>
      </c>
      <c r="AK2" s="7">
        <f t="shared" si="0"/>
        <v>8.6147390126077236E-2</v>
      </c>
      <c r="AL2" s="7">
        <f t="shared" si="0"/>
        <v>0</v>
      </c>
      <c r="AT2" s="7">
        <f>+AT5/$CE$5</f>
        <v>3.3244310689686224E-2</v>
      </c>
      <c r="AU2" s="7">
        <f t="shared" ref="AU2:BX2" si="1">+AU5/$CE$5</f>
        <v>2.7203224079928357E-2</v>
      </c>
      <c r="AV2" s="7">
        <f t="shared" si="1"/>
        <v>2.5575652404948881E-2</v>
      </c>
      <c r="AW2" s="7">
        <f t="shared" si="1"/>
        <v>2.5046699853984441E-2</v>
      </c>
      <c r="AX2" s="7">
        <f t="shared" si="1"/>
        <v>2.858874530197494E-2</v>
      </c>
      <c r="AY2" s="7">
        <f t="shared" si="1"/>
        <v>4.386065189698965E-2</v>
      </c>
      <c r="AZ2" s="7">
        <f t="shared" si="1"/>
        <v>5.8550832633923286E-2</v>
      </c>
      <c r="BA2" s="7">
        <f t="shared" si="1"/>
        <v>2.9753591980318121E-2</v>
      </c>
      <c r="BB2" s="7">
        <f t="shared" si="1"/>
        <v>2.4665137236277879E-2</v>
      </c>
      <c r="BC2" s="7">
        <f t="shared" si="1"/>
        <v>2.2439818768001739E-2</v>
      </c>
      <c r="BD2" s="7">
        <f t="shared" si="1"/>
        <v>2.2132006234907416E-2</v>
      </c>
      <c r="BE2" s="7">
        <f t="shared" si="1"/>
        <v>3.0236458192246605E-2</v>
      </c>
      <c r="BF2" s="7">
        <f t="shared" si="1"/>
        <v>4.9579400391594829E-2</v>
      </c>
      <c r="BG2" s="7">
        <f t="shared" si="1"/>
        <v>6.3263704058089079E-2</v>
      </c>
      <c r="BH2" s="7">
        <f t="shared" si="1"/>
        <v>3.240119950063975E-2</v>
      </c>
      <c r="BI2" s="7">
        <f t="shared" si="1"/>
        <v>2.5385666314377071E-2</v>
      </c>
      <c r="BJ2" s="7">
        <f t="shared" si="1"/>
        <v>2.2792113366999878E-2</v>
      </c>
      <c r="BK2" s="7">
        <f t="shared" si="1"/>
        <v>2.1195443113580927E-2</v>
      </c>
      <c r="BL2" s="7">
        <f t="shared" si="1"/>
        <v>2.5808407328969073E-2</v>
      </c>
      <c r="BM2" s="7">
        <f t="shared" si="1"/>
        <v>4.631395828660019E-2</v>
      </c>
      <c r="BN2" s="7">
        <f t="shared" si="1"/>
        <v>5.3148287214041794E-2</v>
      </c>
      <c r="BO2" s="7">
        <f t="shared" si="1"/>
        <v>2.8529639691174991E-2</v>
      </c>
      <c r="BP2" s="7">
        <f t="shared" si="1"/>
        <v>2.3182768945429585E-2</v>
      </c>
      <c r="BQ2" s="7">
        <f t="shared" si="1"/>
        <v>2.1541579940026812E-2</v>
      </c>
      <c r="BR2" s="7">
        <f t="shared" si="1"/>
        <v>2.0514429712929765E-2</v>
      </c>
      <c r="BS2" s="7">
        <f t="shared" si="1"/>
        <v>2.6695525778234076E-2</v>
      </c>
      <c r="BT2" s="7">
        <f t="shared" si="1"/>
        <v>4.9011969286919595E-2</v>
      </c>
      <c r="BU2" s="7">
        <f t="shared" si="1"/>
        <v>5.673443722959233E-2</v>
      </c>
      <c r="BV2" s="7">
        <f t="shared" si="1"/>
        <v>3.4334585108102049E-2</v>
      </c>
      <c r="BW2" s="7">
        <f t="shared" si="1"/>
        <v>2.8269755459510645E-2</v>
      </c>
      <c r="BX2" s="7">
        <f t="shared" si="1"/>
        <v>0</v>
      </c>
      <c r="CF2" s="7">
        <f>+CF5/$DQ$5</f>
        <v>3.2879309502885236E-2</v>
      </c>
      <c r="CG2" s="7">
        <f t="shared" ref="CG2:DJ2" si="2">+CG5/$DQ$5</f>
        <v>2.8159530312450297E-2</v>
      </c>
      <c r="CH2" s="7">
        <f t="shared" si="2"/>
        <v>2.6445145273132589E-2</v>
      </c>
      <c r="CI2" s="7">
        <f t="shared" si="2"/>
        <v>2.5845261263570399E-2</v>
      </c>
      <c r="CJ2" s="7">
        <f t="shared" si="2"/>
        <v>2.9363323455081504E-2</v>
      </c>
      <c r="CK2" s="7">
        <f t="shared" si="2"/>
        <v>4.3167329237944259E-2</v>
      </c>
      <c r="CL2" s="7">
        <f t="shared" si="2"/>
        <v>5.5761946217658127E-2</v>
      </c>
      <c r="CM2" s="7">
        <f t="shared" si="2"/>
        <v>3.0021180237693155E-2</v>
      </c>
      <c r="CN2" s="7">
        <f t="shared" si="2"/>
        <v>2.5750061836351958E-2</v>
      </c>
      <c r="CO2" s="7">
        <f t="shared" si="2"/>
        <v>2.3308540733183742E-2</v>
      </c>
      <c r="CP2" s="7">
        <f t="shared" si="2"/>
        <v>2.332476947468921E-2</v>
      </c>
      <c r="CQ2" s="7">
        <f t="shared" si="2"/>
        <v>3.0976549777061626E-2</v>
      </c>
      <c r="CR2" s="7">
        <f t="shared" si="2"/>
        <v>4.90003913654262E-2</v>
      </c>
      <c r="CS2" s="7">
        <f t="shared" si="2"/>
        <v>6.0067823911134063E-2</v>
      </c>
      <c r="CT2" s="7">
        <f t="shared" si="2"/>
        <v>3.236277526567951E-2</v>
      </c>
      <c r="CU2" s="7">
        <f t="shared" si="2"/>
        <v>2.6389112079017549E-2</v>
      </c>
      <c r="CV2" s="7">
        <f t="shared" si="2"/>
        <v>2.373880701948182E-2</v>
      </c>
      <c r="CW2" s="7">
        <f t="shared" si="2"/>
        <v>2.2210097615806872E-2</v>
      </c>
      <c r="CX2" s="7">
        <f t="shared" si="2"/>
        <v>2.6580436612434883E-2</v>
      </c>
      <c r="CY2" s="7">
        <f t="shared" si="2"/>
        <v>4.5517246629875843E-2</v>
      </c>
      <c r="CZ2" s="7">
        <f t="shared" si="2"/>
        <v>5.0342608766118881E-2</v>
      </c>
      <c r="DA2" s="7">
        <f t="shared" si="2"/>
        <v>2.8217959496520329E-2</v>
      </c>
      <c r="DB2" s="7">
        <f t="shared" si="2"/>
        <v>2.3727763197725179E-2</v>
      </c>
      <c r="DC2" s="7">
        <f t="shared" si="2"/>
        <v>2.2147998106017055E-2</v>
      </c>
      <c r="DD2" s="7">
        <f t="shared" si="2"/>
        <v>2.0926902372038255E-2</v>
      </c>
      <c r="DE2" s="7">
        <f t="shared" si="2"/>
        <v>2.6800817436025619E-2</v>
      </c>
      <c r="DF2" s="7">
        <f t="shared" si="2"/>
        <v>4.6843918003960754E-2</v>
      </c>
      <c r="DG2" s="7">
        <f t="shared" si="2"/>
        <v>5.2269684829996554E-2</v>
      </c>
      <c r="DH2" s="7">
        <f t="shared" si="2"/>
        <v>3.6229997105112099E-2</v>
      </c>
      <c r="DI2" s="7">
        <f t="shared" si="2"/>
        <v>3.1622712865926376E-2</v>
      </c>
      <c r="DJ2" s="7">
        <f t="shared" si="2"/>
        <v>0</v>
      </c>
      <c r="DR2" s="151" t="s">
        <v>137</v>
      </c>
      <c r="DS2" s="151"/>
      <c r="DT2" s="151"/>
      <c r="DU2" s="151"/>
    </row>
    <row r="3" spans="1:125" x14ac:dyDescent="0.2">
      <c r="E3" s="17" t="s">
        <v>235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130</v>
      </c>
      <c r="O3" t="s">
        <v>131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130</v>
      </c>
      <c r="V3" t="s">
        <v>131</v>
      </c>
      <c r="W3" t="s">
        <v>132</v>
      </c>
      <c r="X3" t="s">
        <v>133</v>
      </c>
      <c r="Y3" t="s">
        <v>134</v>
      </c>
      <c r="Z3" t="s">
        <v>135</v>
      </c>
      <c r="AA3" t="s">
        <v>136</v>
      </c>
      <c r="AB3" t="s">
        <v>130</v>
      </c>
      <c r="AC3" t="s">
        <v>131</v>
      </c>
      <c r="AD3" t="s">
        <v>132</v>
      </c>
      <c r="AE3" t="s">
        <v>133</v>
      </c>
      <c r="AF3" t="s">
        <v>134</v>
      </c>
      <c r="AG3" t="s">
        <v>135</v>
      </c>
      <c r="AH3" t="s">
        <v>385</v>
      </c>
      <c r="AI3" t="s">
        <v>130</v>
      </c>
      <c r="AJ3" t="s">
        <v>131</v>
      </c>
      <c r="AK3" t="s">
        <v>132</v>
      </c>
      <c r="AT3" t="s">
        <v>133</v>
      </c>
      <c r="AU3" t="s">
        <v>134</v>
      </c>
      <c r="AV3" t="s">
        <v>135</v>
      </c>
      <c r="AW3" t="s">
        <v>136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130</v>
      </c>
      <c r="BF3" t="s">
        <v>131</v>
      </c>
      <c r="BG3" t="s">
        <v>132</v>
      </c>
      <c r="BH3" t="s">
        <v>133</v>
      </c>
      <c r="BI3" t="s">
        <v>134</v>
      </c>
      <c r="BJ3" t="s">
        <v>135</v>
      </c>
      <c r="BK3" t="s">
        <v>136</v>
      </c>
      <c r="BL3" t="s">
        <v>130</v>
      </c>
      <c r="BM3" t="s">
        <v>131</v>
      </c>
      <c r="BN3" t="s">
        <v>132</v>
      </c>
      <c r="BO3" t="s">
        <v>133</v>
      </c>
      <c r="BP3" t="s">
        <v>134</v>
      </c>
      <c r="BQ3" t="s">
        <v>135</v>
      </c>
      <c r="BR3" t="s">
        <v>136</v>
      </c>
      <c r="BS3" t="s">
        <v>130</v>
      </c>
      <c r="BT3" t="s">
        <v>131</v>
      </c>
      <c r="BU3" t="s">
        <v>132</v>
      </c>
      <c r="BV3" t="s">
        <v>133</v>
      </c>
      <c r="BW3" t="s">
        <v>134</v>
      </c>
      <c r="BX3" t="s">
        <v>135</v>
      </c>
      <c r="CF3" t="s">
        <v>133</v>
      </c>
      <c r="CG3" t="s">
        <v>134</v>
      </c>
      <c r="CH3" t="s">
        <v>135</v>
      </c>
      <c r="CI3" t="s">
        <v>136</v>
      </c>
      <c r="CJ3" t="s">
        <v>130</v>
      </c>
      <c r="CK3" t="s">
        <v>131</v>
      </c>
      <c r="CL3" t="s">
        <v>132</v>
      </c>
      <c r="CM3" t="s">
        <v>133</v>
      </c>
      <c r="CN3" t="s">
        <v>134</v>
      </c>
      <c r="CO3" t="s">
        <v>135</v>
      </c>
      <c r="CP3" t="s">
        <v>136</v>
      </c>
      <c r="CQ3" t="s">
        <v>130</v>
      </c>
      <c r="CR3" t="s">
        <v>131</v>
      </c>
      <c r="CS3" t="s">
        <v>132</v>
      </c>
      <c r="CT3" t="s">
        <v>133</v>
      </c>
      <c r="CU3" t="s">
        <v>134</v>
      </c>
      <c r="CV3" t="s">
        <v>135</v>
      </c>
      <c r="CW3" t="s">
        <v>136</v>
      </c>
      <c r="CX3" t="s">
        <v>130</v>
      </c>
      <c r="CY3" t="s">
        <v>131</v>
      </c>
      <c r="CZ3" t="s">
        <v>132</v>
      </c>
      <c r="DA3" t="s">
        <v>133</v>
      </c>
      <c r="DB3" t="s">
        <v>134</v>
      </c>
      <c r="DC3" t="s">
        <v>135</v>
      </c>
      <c r="DD3" t="s">
        <v>136</v>
      </c>
      <c r="DE3" t="s">
        <v>130</v>
      </c>
      <c r="DF3" t="s">
        <v>131</v>
      </c>
      <c r="DG3" t="s">
        <v>132</v>
      </c>
      <c r="DH3" t="s">
        <v>133</v>
      </c>
      <c r="DI3" t="s">
        <v>134</v>
      </c>
      <c r="DJ3" t="s">
        <v>135</v>
      </c>
      <c r="DL3" s="16"/>
      <c r="DR3" s="151"/>
      <c r="DS3" s="151"/>
      <c r="DT3" s="151"/>
      <c r="DU3" s="151"/>
    </row>
    <row r="4" spans="1:125" x14ac:dyDescent="0.2">
      <c r="E4" s="17" t="s">
        <v>236</v>
      </c>
      <c r="H4" s="4">
        <f>+H5</f>
        <v>6.6328900457082947</v>
      </c>
      <c r="I4" s="6">
        <f>+H4+I5</f>
        <v>15.86730625291521</v>
      </c>
      <c r="J4" s="6">
        <f t="shared" ref="J4:AK4" si="3">+I4+J5</f>
        <v>24.459445817601114</v>
      </c>
      <c r="K4" s="6">
        <f t="shared" si="3"/>
        <v>32.713269832316321</v>
      </c>
      <c r="L4" s="6">
        <f t="shared" si="3"/>
        <v>41.719017237934871</v>
      </c>
      <c r="M4" s="6">
        <f t="shared" si="3"/>
        <v>49.827722209836473</v>
      </c>
      <c r="N4" s="6">
        <f t="shared" si="3"/>
        <v>54.999999999999986</v>
      </c>
      <c r="O4" s="6">
        <f t="shared" si="3"/>
        <v>62.670419218248249</v>
      </c>
      <c r="P4" s="6">
        <f t="shared" si="3"/>
        <v>71.623939465457426</v>
      </c>
      <c r="Q4" s="6">
        <f t="shared" si="3"/>
        <v>79.413936718064846</v>
      </c>
      <c r="R4" s="6">
        <f t="shared" si="3"/>
        <v>88.107128591586218</v>
      </c>
      <c r="S4" s="6">
        <f t="shared" si="3"/>
        <v>97.309547870346904</v>
      </c>
      <c r="T4" s="6">
        <f t="shared" si="3"/>
        <v>107.00967542754309</v>
      </c>
      <c r="U4" s="6">
        <f t="shared" si="3"/>
        <v>111.99999999999997</v>
      </c>
      <c r="V4" s="6">
        <f t="shared" si="3"/>
        <v>119.97792164504919</v>
      </c>
      <c r="W4" s="6">
        <f t="shared" si="3"/>
        <v>129.3305097468953</v>
      </c>
      <c r="X4" s="6">
        <f t="shared" si="3"/>
        <v>137.86494092401034</v>
      </c>
      <c r="Y4" s="6">
        <f t="shared" si="3"/>
        <v>146.20452680636708</v>
      </c>
      <c r="Z4" s="6">
        <f t="shared" si="3"/>
        <v>154.96814494323093</v>
      </c>
      <c r="AA4" s="6">
        <f t="shared" si="3"/>
        <v>164.14533727886925</v>
      </c>
      <c r="AB4" s="6">
        <f t="shared" si="3"/>
        <v>168.99999999999997</v>
      </c>
      <c r="AC4" s="6">
        <f t="shared" si="3"/>
        <v>177.24340054465952</v>
      </c>
      <c r="AD4" s="6">
        <f t="shared" si="3"/>
        <v>186.32229231119007</v>
      </c>
      <c r="AE4" s="6">
        <f t="shared" si="3"/>
        <v>195.05667674961978</v>
      </c>
      <c r="AF4" s="6">
        <f t="shared" si="3"/>
        <v>202.88246436032361</v>
      </c>
      <c r="AG4" s="6">
        <f t="shared" si="3"/>
        <v>211.77957703169426</v>
      </c>
      <c r="AH4" s="6">
        <f t="shared" si="3"/>
        <v>221.07272285376814</v>
      </c>
      <c r="AI4" s="6">
        <f t="shared" si="3"/>
        <v>225.99999999999991</v>
      </c>
      <c r="AJ4" s="6">
        <f t="shared" si="3"/>
        <v>248.56790988570685</v>
      </c>
      <c r="AK4" s="6">
        <f t="shared" si="3"/>
        <v>271.99999999999989</v>
      </c>
      <c r="AL4" s="6"/>
      <c r="AT4" s="6">
        <f>+AT5</f>
        <v>39.826684206244096</v>
      </c>
      <c r="AU4" s="6">
        <f t="shared" ref="AU4:BX4" si="4">+AT4+AU5</f>
        <v>72.416146653998268</v>
      </c>
      <c r="AV4" s="6">
        <f t="shared" si="4"/>
        <v>103.05577823512702</v>
      </c>
      <c r="AW4" s="6">
        <f t="shared" si="4"/>
        <v>133.06172466020038</v>
      </c>
      <c r="AX4" s="6">
        <f t="shared" si="4"/>
        <v>167.31104153196637</v>
      </c>
      <c r="AY4" s="6">
        <f t="shared" si="4"/>
        <v>219.85610250455997</v>
      </c>
      <c r="AZ4" s="6">
        <f t="shared" si="4"/>
        <v>290.00000000000006</v>
      </c>
      <c r="BA4" s="6">
        <f t="shared" si="4"/>
        <v>325.64480319242114</v>
      </c>
      <c r="BB4" s="6">
        <f t="shared" si="4"/>
        <v>355.19363760148201</v>
      </c>
      <c r="BC4" s="6">
        <f t="shared" si="4"/>
        <v>382.07654048554809</v>
      </c>
      <c r="BD4" s="6">
        <f t="shared" si="4"/>
        <v>408.59068395496718</v>
      </c>
      <c r="BE4" s="6">
        <f t="shared" si="4"/>
        <v>444.81396086927862</v>
      </c>
      <c r="BF4" s="6">
        <f t="shared" si="4"/>
        <v>504.21008253840921</v>
      </c>
      <c r="BG4" s="6">
        <f t="shared" si="4"/>
        <v>579.99999999999989</v>
      </c>
      <c r="BH4" s="6">
        <f t="shared" si="4"/>
        <v>618.81663700176637</v>
      </c>
      <c r="BI4" s="6">
        <f t="shared" si="4"/>
        <v>649.22866524639005</v>
      </c>
      <c r="BJ4" s="6">
        <f t="shared" si="4"/>
        <v>676.53361706005592</v>
      </c>
      <c r="BK4" s="6">
        <f t="shared" si="4"/>
        <v>701.92575791012587</v>
      </c>
      <c r="BL4" s="6">
        <f t="shared" si="4"/>
        <v>732.84422989023085</v>
      </c>
      <c r="BM4" s="6">
        <f t="shared" si="4"/>
        <v>788.32835191757783</v>
      </c>
      <c r="BN4" s="6">
        <f t="shared" si="4"/>
        <v>851.99999999999989</v>
      </c>
      <c r="BO4" s="6">
        <f t="shared" si="4"/>
        <v>886.17850835002753</v>
      </c>
      <c r="BP4" s="6">
        <f t="shared" si="4"/>
        <v>913.95146554665212</v>
      </c>
      <c r="BQ4" s="6">
        <f t="shared" si="4"/>
        <v>939.75827831480422</v>
      </c>
      <c r="BR4" s="6">
        <f t="shared" si="4"/>
        <v>964.33456511089412</v>
      </c>
      <c r="BS4" s="6">
        <f t="shared" si="4"/>
        <v>996.31580499321853</v>
      </c>
      <c r="BT4" s="6">
        <f t="shared" si="4"/>
        <v>1055.0321441989481</v>
      </c>
      <c r="BU4" s="6">
        <f t="shared" si="4"/>
        <v>1122.9999999999998</v>
      </c>
      <c r="BV4" s="6">
        <f t="shared" si="4"/>
        <v>1164.132832959506</v>
      </c>
      <c r="BW4" s="6">
        <f t="shared" si="4"/>
        <v>1197.9999999999998</v>
      </c>
      <c r="BX4" s="6">
        <f t="shared" si="4"/>
        <v>1197.9999999999998</v>
      </c>
      <c r="BZ4" s="6"/>
      <c r="CF4" s="6">
        <f>+CF5</f>
        <v>79.469291068473609</v>
      </c>
      <c r="CG4" s="6">
        <f t="shared" ref="CG4:DJ4" si="5">+CF4+CG5</f>
        <v>147.53087583366596</v>
      </c>
      <c r="CH4" s="6">
        <f t="shared" si="5"/>
        <v>211.44879195882743</v>
      </c>
      <c r="CI4" s="6">
        <f t="shared" si="5"/>
        <v>273.91678843287707</v>
      </c>
      <c r="CJ4" s="6">
        <f t="shared" si="5"/>
        <v>344.88794122380909</v>
      </c>
      <c r="CK4" s="6">
        <f t="shared" si="5"/>
        <v>449.22337599192036</v>
      </c>
      <c r="CL4" s="6">
        <f t="shared" si="5"/>
        <v>584</v>
      </c>
      <c r="CM4" s="6">
        <f t="shared" si="5"/>
        <v>656.56119263450432</v>
      </c>
      <c r="CN4" s="6">
        <f t="shared" si="5"/>
        <v>718.79909209296704</v>
      </c>
      <c r="CO4" s="6">
        <f t="shared" si="5"/>
        <v>775.1358350450721</v>
      </c>
      <c r="CP4" s="6">
        <f t="shared" si="5"/>
        <v>831.51180286539591</v>
      </c>
      <c r="CQ4" s="6">
        <f t="shared" si="5"/>
        <v>906.38212367655387</v>
      </c>
      <c r="CR4" s="6">
        <f t="shared" si="5"/>
        <v>1024.8160696067889</v>
      </c>
      <c r="CS4" s="6">
        <f t="shared" si="5"/>
        <v>1170</v>
      </c>
      <c r="CT4" s="6">
        <f t="shared" si="5"/>
        <v>1248.2208278171474</v>
      </c>
      <c r="CU4" s="6">
        <f t="shared" si="5"/>
        <v>1312.0033117121329</v>
      </c>
      <c r="CV4" s="6">
        <f t="shared" si="5"/>
        <v>1369.3800082782204</v>
      </c>
      <c r="CW4" s="6">
        <f t="shared" si="5"/>
        <v>1423.0618142156256</v>
      </c>
      <c r="CX4" s="6">
        <f t="shared" si="5"/>
        <v>1487.3067295078808</v>
      </c>
      <c r="CY4" s="6">
        <f t="shared" si="5"/>
        <v>1597.3219146122908</v>
      </c>
      <c r="CZ4" s="6">
        <f t="shared" si="5"/>
        <v>1719.0000000000002</v>
      </c>
      <c r="DA4" s="6">
        <f t="shared" si="5"/>
        <v>1787.2028081030899</v>
      </c>
      <c r="DB4" s="6">
        <f t="shared" si="5"/>
        <v>1844.5528117519916</v>
      </c>
      <c r="DC4" s="6">
        <f t="shared" si="5"/>
        <v>1898.0845231742348</v>
      </c>
      <c r="DD4" s="6">
        <f t="shared" si="5"/>
        <v>1948.6648462074513</v>
      </c>
      <c r="DE4" s="6">
        <f t="shared" si="5"/>
        <v>2013.4424219503253</v>
      </c>
      <c r="DF4" s="6">
        <f t="shared" si="5"/>
        <v>2126.6641717658986</v>
      </c>
      <c r="DG4" s="6">
        <f t="shared" si="5"/>
        <v>2253.0000000000005</v>
      </c>
      <c r="DH4" s="6">
        <f t="shared" si="5"/>
        <v>2340.5679030030565</v>
      </c>
      <c r="DI4" s="6">
        <f t="shared" si="5"/>
        <v>2417.0000000000005</v>
      </c>
      <c r="DJ4" s="6">
        <f t="shared" si="5"/>
        <v>2417.0000000000005</v>
      </c>
      <c r="DL4" s="6"/>
    </row>
    <row r="5" spans="1:125" x14ac:dyDescent="0.2">
      <c r="E5" s="17" t="s">
        <v>237</v>
      </c>
      <c r="H5" s="5">
        <f>+SUBTOTAL(9,H7:H112)</f>
        <v>6.6328900457082947</v>
      </c>
      <c r="I5" s="5">
        <f t="shared" ref="I5:BT5" si="6">+SUBTOTAL(9,I7:I112)</f>
        <v>9.234416207206916</v>
      </c>
      <c r="J5" s="5">
        <f t="shared" si="6"/>
        <v>8.5921395646859064</v>
      </c>
      <c r="K5" s="5">
        <f t="shared" si="6"/>
        <v>8.2538240147152067</v>
      </c>
      <c r="L5" s="5">
        <f t="shared" si="6"/>
        <v>9.005747405618548</v>
      </c>
      <c r="M5" s="5">
        <f t="shared" si="6"/>
        <v>8.1087049719016004</v>
      </c>
      <c r="N5" s="5">
        <f t="shared" si="6"/>
        <v>5.17227779016351</v>
      </c>
      <c r="O5" s="5">
        <f t="shared" si="6"/>
        <v>7.6704192182482629</v>
      </c>
      <c r="P5" s="5">
        <f t="shared" si="6"/>
        <v>8.9535202472091733</v>
      </c>
      <c r="Q5" s="5">
        <f t="shared" si="6"/>
        <v>7.7899972526074208</v>
      </c>
      <c r="R5" s="5">
        <f t="shared" si="6"/>
        <v>8.6931918735213713</v>
      </c>
      <c r="S5" s="5">
        <f t="shared" si="6"/>
        <v>9.2024192787606882</v>
      </c>
      <c r="T5" s="5">
        <f t="shared" si="6"/>
        <v>9.700127557196188</v>
      </c>
      <c r="U5" s="5">
        <f t="shared" si="6"/>
        <v>4.990324572456891</v>
      </c>
      <c r="V5" s="5">
        <f t="shared" si="6"/>
        <v>7.9779216450492223</v>
      </c>
      <c r="W5" s="5">
        <f t="shared" si="6"/>
        <v>9.3525881018461074</v>
      </c>
      <c r="X5" s="5">
        <f t="shared" si="6"/>
        <v>8.5344311771150423</v>
      </c>
      <c r="Y5" s="5">
        <f t="shared" si="6"/>
        <v>8.3395858823567437</v>
      </c>
      <c r="Z5" s="5">
        <f t="shared" si="6"/>
        <v>8.763618136863851</v>
      </c>
      <c r="AA5" s="5">
        <f t="shared" si="6"/>
        <v>9.1771923356383169</v>
      </c>
      <c r="AB5" s="5">
        <f t="shared" si="6"/>
        <v>4.8546627211307207</v>
      </c>
      <c r="AC5" s="5">
        <f t="shared" si="6"/>
        <v>8.2434005446595631</v>
      </c>
      <c r="AD5" s="5">
        <f t="shared" si="6"/>
        <v>9.0788917665305533</v>
      </c>
      <c r="AE5" s="5">
        <f t="shared" si="6"/>
        <v>8.7343844384297284</v>
      </c>
      <c r="AF5" s="5">
        <f t="shared" si="6"/>
        <v>7.8257876107038271</v>
      </c>
      <c r="AG5" s="5">
        <f t="shared" si="6"/>
        <v>8.8971126713706497</v>
      </c>
      <c r="AH5" s="5">
        <f t="shared" si="6"/>
        <v>9.2931458220738747</v>
      </c>
      <c r="AI5" s="5">
        <f t="shared" si="6"/>
        <v>4.9272771462317868</v>
      </c>
      <c r="AJ5" s="5">
        <f t="shared" si="6"/>
        <v>22.567909885706939</v>
      </c>
      <c r="AK5" s="5">
        <f t="shared" si="6"/>
        <v>23.432090114293008</v>
      </c>
      <c r="AL5" s="5">
        <f t="shared" si="6"/>
        <v>0</v>
      </c>
      <c r="AM5" s="5">
        <f t="shared" si="6"/>
        <v>55</v>
      </c>
      <c r="AN5" s="5">
        <f t="shared" si="6"/>
        <v>57</v>
      </c>
      <c r="AO5" s="5">
        <f t="shared" si="6"/>
        <v>57</v>
      </c>
      <c r="AP5" s="5">
        <f t="shared" si="6"/>
        <v>57</v>
      </c>
      <c r="AQ5" s="5">
        <f t="shared" si="6"/>
        <v>46</v>
      </c>
      <c r="AR5" s="5">
        <f t="shared" si="6"/>
        <v>0</v>
      </c>
      <c r="AS5" s="5">
        <f t="shared" si="6"/>
        <v>272</v>
      </c>
      <c r="AT5" s="5">
        <f t="shared" si="6"/>
        <v>39.826684206244096</v>
      </c>
      <c r="AU5" s="5">
        <f t="shared" si="6"/>
        <v>32.589462447754173</v>
      </c>
      <c r="AV5" s="5">
        <f t="shared" si="6"/>
        <v>30.639631581128757</v>
      </c>
      <c r="AW5" s="5">
        <f t="shared" si="6"/>
        <v>30.005946425073361</v>
      </c>
      <c r="AX5" s="5">
        <f t="shared" si="6"/>
        <v>34.249316871765977</v>
      </c>
      <c r="AY5" s="5">
        <f t="shared" si="6"/>
        <v>52.545060972593603</v>
      </c>
      <c r="AZ5" s="5">
        <f t="shared" si="6"/>
        <v>70.1438974954401</v>
      </c>
      <c r="BA5" s="5">
        <f t="shared" si="6"/>
        <v>35.644803192421108</v>
      </c>
      <c r="BB5" s="5">
        <f t="shared" si="6"/>
        <v>29.548834409060898</v>
      </c>
      <c r="BC5" s="5">
        <f t="shared" si="6"/>
        <v>26.882902884066084</v>
      </c>
      <c r="BD5" s="5">
        <f t="shared" si="6"/>
        <v>26.514143469419086</v>
      </c>
      <c r="BE5" s="5">
        <f t="shared" si="6"/>
        <v>36.223276914311434</v>
      </c>
      <c r="BF5" s="5">
        <f t="shared" si="6"/>
        <v>59.396121669130608</v>
      </c>
      <c r="BG5" s="5">
        <f t="shared" si="6"/>
        <v>75.789917461590719</v>
      </c>
      <c r="BH5" s="5">
        <f t="shared" si="6"/>
        <v>38.816637001766424</v>
      </c>
      <c r="BI5" s="5">
        <f t="shared" si="6"/>
        <v>30.41202824462373</v>
      </c>
      <c r="BJ5" s="5">
        <f t="shared" si="6"/>
        <v>27.304951813665852</v>
      </c>
      <c r="BK5" s="5">
        <f t="shared" si="6"/>
        <v>25.39214085006995</v>
      </c>
      <c r="BL5" s="5">
        <f t="shared" si="6"/>
        <v>30.91847198010495</v>
      </c>
      <c r="BM5" s="5">
        <f t="shared" si="6"/>
        <v>55.484122027347027</v>
      </c>
      <c r="BN5" s="5">
        <f t="shared" si="6"/>
        <v>63.671648082422067</v>
      </c>
      <c r="BO5" s="5">
        <f t="shared" si="6"/>
        <v>34.178508350027641</v>
      </c>
      <c r="BP5" s="5">
        <f t="shared" si="6"/>
        <v>27.772957196624642</v>
      </c>
      <c r="BQ5" s="5">
        <f t="shared" si="6"/>
        <v>25.80681276815212</v>
      </c>
      <c r="BR5" s="5">
        <f t="shared" si="6"/>
        <v>24.576286796089857</v>
      </c>
      <c r="BS5" s="5">
        <f t="shared" si="6"/>
        <v>31.981239882324424</v>
      </c>
      <c r="BT5" s="5">
        <f t="shared" si="6"/>
        <v>58.716339205729675</v>
      </c>
      <c r="BU5" s="5">
        <f t="shared" ref="BU5:DU5" si="7">+SUBTOTAL(9,BU7:BU112)</f>
        <v>67.967855801051613</v>
      </c>
      <c r="BV5" s="5">
        <f t="shared" si="7"/>
        <v>41.132832959506253</v>
      </c>
      <c r="BW5" s="5">
        <f t="shared" si="7"/>
        <v>33.867167040493754</v>
      </c>
      <c r="BX5" s="5">
        <f t="shared" si="7"/>
        <v>0</v>
      </c>
      <c r="BY5" s="5">
        <f t="shared" si="7"/>
        <v>290</v>
      </c>
      <c r="BZ5" s="5">
        <f t="shared" si="7"/>
        <v>290</v>
      </c>
      <c r="CA5" s="5">
        <f t="shared" si="7"/>
        <v>272</v>
      </c>
      <c r="CB5" s="5">
        <f t="shared" si="7"/>
        <v>271</v>
      </c>
      <c r="CC5" s="5">
        <f t="shared" si="7"/>
        <v>75</v>
      </c>
      <c r="CD5" s="5">
        <f t="shared" si="7"/>
        <v>0</v>
      </c>
      <c r="CE5" s="5">
        <f t="shared" si="7"/>
        <v>1198</v>
      </c>
      <c r="CF5" s="5">
        <f t="shared" si="7"/>
        <v>79.469291068473609</v>
      </c>
      <c r="CG5" s="5">
        <f t="shared" si="7"/>
        <v>68.061584765192364</v>
      </c>
      <c r="CH5" s="5">
        <f t="shared" si="7"/>
        <v>63.917916125161469</v>
      </c>
      <c r="CI5" s="5">
        <f t="shared" si="7"/>
        <v>62.467996474049656</v>
      </c>
      <c r="CJ5" s="5">
        <f t="shared" si="7"/>
        <v>70.971152790931995</v>
      </c>
      <c r="CK5" s="5">
        <f t="shared" si="7"/>
        <v>104.33543476811127</v>
      </c>
      <c r="CL5" s="5">
        <f t="shared" si="7"/>
        <v>134.77662400807969</v>
      </c>
      <c r="CM5" s="5">
        <f t="shared" si="7"/>
        <v>72.561192634504351</v>
      </c>
      <c r="CN5" s="5">
        <f t="shared" si="7"/>
        <v>62.237899458462678</v>
      </c>
      <c r="CO5" s="5">
        <f t="shared" si="7"/>
        <v>56.336742952105105</v>
      </c>
      <c r="CP5" s="5">
        <f t="shared" si="7"/>
        <v>56.375967820323822</v>
      </c>
      <c r="CQ5" s="5">
        <f t="shared" si="7"/>
        <v>74.870320811157953</v>
      </c>
      <c r="CR5" s="5">
        <f t="shared" si="7"/>
        <v>118.43394593023513</v>
      </c>
      <c r="CS5" s="5">
        <f t="shared" si="7"/>
        <v>145.18393039321103</v>
      </c>
      <c r="CT5" s="5">
        <f t="shared" si="7"/>
        <v>78.220827817147367</v>
      </c>
      <c r="CU5" s="5">
        <f t="shared" si="7"/>
        <v>63.782483894985418</v>
      </c>
      <c r="CV5" s="5">
        <f t="shared" si="7"/>
        <v>57.37669656608756</v>
      </c>
      <c r="CW5" s="5">
        <f t="shared" si="7"/>
        <v>53.681805937405208</v>
      </c>
      <c r="CX5" s="5">
        <f t="shared" si="7"/>
        <v>64.244915292255115</v>
      </c>
      <c r="CY5" s="5">
        <f t="shared" si="7"/>
        <v>110.01518510440991</v>
      </c>
      <c r="CZ5" s="5">
        <f t="shared" si="7"/>
        <v>121.67808538770933</v>
      </c>
      <c r="DA5" s="5">
        <f t="shared" si="7"/>
        <v>68.202808103089637</v>
      </c>
      <c r="DB5" s="5">
        <f t="shared" si="7"/>
        <v>57.350003648901755</v>
      </c>
      <c r="DC5" s="5">
        <f t="shared" si="7"/>
        <v>53.53171142224322</v>
      </c>
      <c r="DD5" s="5">
        <f t="shared" si="7"/>
        <v>50.580323033216466</v>
      </c>
      <c r="DE5" s="5">
        <f t="shared" si="7"/>
        <v>64.777575742873921</v>
      </c>
      <c r="DF5" s="5">
        <f t="shared" si="7"/>
        <v>113.22174981557313</v>
      </c>
      <c r="DG5" s="5">
        <f t="shared" si="7"/>
        <v>126.33582823410167</v>
      </c>
      <c r="DH5" s="5">
        <f t="shared" si="7"/>
        <v>87.567903003055946</v>
      </c>
      <c r="DI5" s="5">
        <f t="shared" si="7"/>
        <v>76.432096996944054</v>
      </c>
      <c r="DJ5" s="5">
        <f t="shared" si="7"/>
        <v>0</v>
      </c>
      <c r="DK5" s="5">
        <f t="shared" si="7"/>
        <v>584</v>
      </c>
      <c r="DL5" s="5">
        <f t="shared" si="7"/>
        <v>586</v>
      </c>
      <c r="DM5" s="5">
        <f t="shared" si="7"/>
        <v>549</v>
      </c>
      <c r="DN5" s="5">
        <f t="shared" si="7"/>
        <v>534</v>
      </c>
      <c r="DO5" s="5">
        <f t="shared" si="7"/>
        <v>164</v>
      </c>
      <c r="DP5" s="5">
        <f t="shared" si="7"/>
        <v>0</v>
      </c>
      <c r="DQ5" s="5">
        <f t="shared" si="7"/>
        <v>2417</v>
      </c>
      <c r="DR5" s="5">
        <f t="shared" si="7"/>
        <v>79.469291068473609</v>
      </c>
      <c r="DS5" s="5">
        <f t="shared" si="7"/>
        <v>39.826684206244096</v>
      </c>
      <c r="DT5" s="5">
        <f t="shared" si="7"/>
        <v>6.6328900457082947</v>
      </c>
      <c r="DU5" s="5">
        <f t="shared" si="7"/>
        <v>33.009716816521205</v>
      </c>
    </row>
    <row r="6" spans="1:125" x14ac:dyDescent="0.2">
      <c r="A6" s="2" t="s">
        <v>0</v>
      </c>
      <c r="B6" s="2" t="s">
        <v>481</v>
      </c>
      <c r="C6" s="3" t="s">
        <v>122</v>
      </c>
      <c r="D6" s="1" t="s">
        <v>1</v>
      </c>
      <c r="E6" s="1" t="s">
        <v>2</v>
      </c>
      <c r="F6" s="1" t="s">
        <v>3</v>
      </c>
      <c r="G6" s="13" t="s">
        <v>4</v>
      </c>
      <c r="H6" s="14" t="s">
        <v>202</v>
      </c>
      <c r="I6" s="14" t="s">
        <v>203</v>
      </c>
      <c r="J6" s="14" t="s">
        <v>204</v>
      </c>
      <c r="K6" s="14" t="s">
        <v>205</v>
      </c>
      <c r="L6" s="14" t="s">
        <v>206</v>
      </c>
      <c r="M6" s="14" t="s">
        <v>207</v>
      </c>
      <c r="N6" s="14" t="s">
        <v>208</v>
      </c>
      <c r="O6" s="14" t="s">
        <v>209</v>
      </c>
      <c r="P6" s="14" t="s">
        <v>210</v>
      </c>
      <c r="Q6" s="14" t="s">
        <v>211</v>
      </c>
      <c r="R6" s="14" t="s">
        <v>212</v>
      </c>
      <c r="S6" s="14" t="s">
        <v>213</v>
      </c>
      <c r="T6" s="14" t="s">
        <v>214</v>
      </c>
      <c r="U6" s="14" t="s">
        <v>215</v>
      </c>
      <c r="V6" s="14" t="s">
        <v>216</v>
      </c>
      <c r="W6" s="14" t="s">
        <v>217</v>
      </c>
      <c r="X6" s="14" t="s">
        <v>218</v>
      </c>
      <c r="Y6" s="14" t="s">
        <v>219</v>
      </c>
      <c r="Z6" s="14" t="s">
        <v>220</v>
      </c>
      <c r="AA6" s="14" t="s">
        <v>221</v>
      </c>
      <c r="AB6" s="14" t="s">
        <v>222</v>
      </c>
      <c r="AC6" s="14" t="s">
        <v>223</v>
      </c>
      <c r="AD6" s="14" t="s">
        <v>224</v>
      </c>
      <c r="AE6" s="14" t="s">
        <v>225</v>
      </c>
      <c r="AF6" s="14" t="s">
        <v>226</v>
      </c>
      <c r="AG6" s="14" t="s">
        <v>227</v>
      </c>
      <c r="AH6" s="14" t="s">
        <v>228</v>
      </c>
      <c r="AI6" s="14" t="s">
        <v>229</v>
      </c>
      <c r="AJ6" s="14" t="s">
        <v>230</v>
      </c>
      <c r="AK6" s="14" t="s">
        <v>231</v>
      </c>
      <c r="AL6" s="14" t="s">
        <v>232</v>
      </c>
      <c r="AM6" s="59" t="s">
        <v>325</v>
      </c>
      <c r="AN6" s="59" t="s">
        <v>326</v>
      </c>
      <c r="AO6" s="59" t="s">
        <v>327</v>
      </c>
      <c r="AP6" s="59" t="s">
        <v>328</v>
      </c>
      <c r="AQ6" s="59" t="s">
        <v>329</v>
      </c>
      <c r="AR6" s="59" t="s">
        <v>330</v>
      </c>
      <c r="AS6" s="15" t="s">
        <v>128</v>
      </c>
      <c r="AT6" s="14" t="s">
        <v>171</v>
      </c>
      <c r="AU6" s="14" t="s">
        <v>172</v>
      </c>
      <c r="AV6" s="14" t="s">
        <v>173</v>
      </c>
      <c r="AW6" s="14" t="s">
        <v>174</v>
      </c>
      <c r="AX6" s="14" t="s">
        <v>175</v>
      </c>
      <c r="AY6" s="14" t="s">
        <v>176</v>
      </c>
      <c r="AZ6" s="14" t="s">
        <v>177</v>
      </c>
      <c r="BA6" s="14" t="s">
        <v>178</v>
      </c>
      <c r="BB6" s="14" t="s">
        <v>179</v>
      </c>
      <c r="BC6" s="14" t="s">
        <v>180</v>
      </c>
      <c r="BD6" s="14" t="s">
        <v>181</v>
      </c>
      <c r="BE6" s="14" t="s">
        <v>182</v>
      </c>
      <c r="BF6" s="14" t="s">
        <v>183</v>
      </c>
      <c r="BG6" s="14" t="s">
        <v>184</v>
      </c>
      <c r="BH6" s="14" t="s">
        <v>185</v>
      </c>
      <c r="BI6" s="14" t="s">
        <v>186</v>
      </c>
      <c r="BJ6" s="14" t="s">
        <v>187</v>
      </c>
      <c r="BK6" s="14" t="s">
        <v>188</v>
      </c>
      <c r="BL6" s="14" t="s">
        <v>189</v>
      </c>
      <c r="BM6" s="14" t="s">
        <v>190</v>
      </c>
      <c r="BN6" s="14" t="s">
        <v>191</v>
      </c>
      <c r="BO6" s="14" t="s">
        <v>192</v>
      </c>
      <c r="BP6" s="14" t="s">
        <v>193</v>
      </c>
      <c r="BQ6" s="14" t="s">
        <v>194</v>
      </c>
      <c r="BR6" s="14" t="s">
        <v>195</v>
      </c>
      <c r="BS6" s="14" t="s">
        <v>196</v>
      </c>
      <c r="BT6" s="14" t="s">
        <v>197</v>
      </c>
      <c r="BU6" s="14" t="s">
        <v>198</v>
      </c>
      <c r="BV6" s="14" t="s">
        <v>199</v>
      </c>
      <c r="BW6" s="14" t="s">
        <v>200</v>
      </c>
      <c r="BX6" s="14" t="s">
        <v>201</v>
      </c>
      <c r="BY6" s="59" t="s">
        <v>331</v>
      </c>
      <c r="BZ6" s="59" t="s">
        <v>332</v>
      </c>
      <c r="CA6" s="59" t="s">
        <v>333</v>
      </c>
      <c r="CB6" s="59" t="s">
        <v>334</v>
      </c>
      <c r="CC6" s="59" t="s">
        <v>335</v>
      </c>
      <c r="CD6" s="59" t="s">
        <v>336</v>
      </c>
      <c r="CE6" s="15" t="s">
        <v>129</v>
      </c>
      <c r="CF6" s="14" t="s">
        <v>141</v>
      </c>
      <c r="CG6" s="14" t="s">
        <v>140</v>
      </c>
      <c r="CH6" s="14" t="s">
        <v>142</v>
      </c>
      <c r="CI6" s="14" t="s">
        <v>143</v>
      </c>
      <c r="CJ6" s="14" t="s">
        <v>144</v>
      </c>
      <c r="CK6" s="14" t="s">
        <v>145</v>
      </c>
      <c r="CL6" s="14" t="s">
        <v>146</v>
      </c>
      <c r="CM6" s="14" t="s">
        <v>147</v>
      </c>
      <c r="CN6" s="14" t="s">
        <v>148</v>
      </c>
      <c r="CO6" s="14" t="s">
        <v>149</v>
      </c>
      <c r="CP6" s="14" t="s">
        <v>150</v>
      </c>
      <c r="CQ6" s="14" t="s">
        <v>151</v>
      </c>
      <c r="CR6" s="14" t="s">
        <v>152</v>
      </c>
      <c r="CS6" s="14" t="s">
        <v>153</v>
      </c>
      <c r="CT6" s="14" t="s">
        <v>154</v>
      </c>
      <c r="CU6" s="14" t="s">
        <v>155</v>
      </c>
      <c r="CV6" s="14" t="s">
        <v>156</v>
      </c>
      <c r="CW6" s="14" t="s">
        <v>157</v>
      </c>
      <c r="CX6" s="14" t="s">
        <v>158</v>
      </c>
      <c r="CY6" s="14" t="s">
        <v>159</v>
      </c>
      <c r="CZ6" s="14" t="s">
        <v>160</v>
      </c>
      <c r="DA6" s="14" t="s">
        <v>161</v>
      </c>
      <c r="DB6" s="14" t="s">
        <v>162</v>
      </c>
      <c r="DC6" s="14" t="s">
        <v>163</v>
      </c>
      <c r="DD6" s="14" t="s">
        <v>164</v>
      </c>
      <c r="DE6" s="14" t="s">
        <v>165</v>
      </c>
      <c r="DF6" s="14" t="s">
        <v>166</v>
      </c>
      <c r="DG6" s="14" t="s">
        <v>167</v>
      </c>
      <c r="DH6" s="14" t="s">
        <v>168</v>
      </c>
      <c r="DI6" s="14" t="s">
        <v>169</v>
      </c>
      <c r="DJ6" s="14" t="s">
        <v>170</v>
      </c>
      <c r="DK6" s="59" t="s">
        <v>337</v>
      </c>
      <c r="DL6" s="59" t="s">
        <v>338</v>
      </c>
      <c r="DM6" s="59" t="s">
        <v>339</v>
      </c>
      <c r="DN6" s="59" t="s">
        <v>340</v>
      </c>
      <c r="DO6" s="59" t="s">
        <v>341</v>
      </c>
      <c r="DP6" s="59" t="s">
        <v>342</v>
      </c>
      <c r="DQ6" s="15" t="s">
        <v>100</v>
      </c>
      <c r="DR6" s="12" t="s">
        <v>138</v>
      </c>
      <c r="DS6" s="12" t="s">
        <v>233</v>
      </c>
      <c r="DT6" s="12" t="s">
        <v>234</v>
      </c>
      <c r="DU6" s="12" t="s">
        <v>139</v>
      </c>
    </row>
    <row r="7" spans="1:125" x14ac:dyDescent="0.2">
      <c r="A7" s="84" t="s">
        <v>99</v>
      </c>
      <c r="B7" s="84" t="s">
        <v>482</v>
      </c>
      <c r="C7" s="11" t="s">
        <v>125</v>
      </c>
      <c r="D7" s="11">
        <v>2090171</v>
      </c>
      <c r="E7" s="11" t="s">
        <v>18</v>
      </c>
      <c r="F7" s="11" t="s">
        <v>306</v>
      </c>
      <c r="G7" s="43" t="s">
        <v>280</v>
      </c>
      <c r="H7" s="10">
        <v>0.24119600166211994</v>
      </c>
      <c r="I7" s="10">
        <v>0.33579695298934253</v>
      </c>
      <c r="J7" s="10">
        <v>0.31244143871585139</v>
      </c>
      <c r="K7" s="10">
        <v>0.30013905508055283</v>
      </c>
      <c r="L7" s="10">
        <v>0.32748172384067437</v>
      </c>
      <c r="M7" s="10">
        <v>0.29486199897824017</v>
      </c>
      <c r="N7" s="10">
        <v>0.18808282873321855</v>
      </c>
      <c r="O7" s="10">
        <v>0.26913751642976363</v>
      </c>
      <c r="P7" s="10">
        <v>0.31415860516523431</v>
      </c>
      <c r="Q7" s="10">
        <v>0.27333323693359379</v>
      </c>
      <c r="R7" s="10">
        <v>0.30502427626390816</v>
      </c>
      <c r="S7" s="10">
        <v>0.32289190451791866</v>
      </c>
      <c r="T7" s="10">
        <v>0.34035535288407659</v>
      </c>
      <c r="U7" s="10">
        <v>0.17509910780550492</v>
      </c>
      <c r="V7" s="10">
        <v>0.27992707526488514</v>
      </c>
      <c r="W7" s="10">
        <v>0.32816098602968802</v>
      </c>
      <c r="X7" s="10">
        <v>0.29945372551280836</v>
      </c>
      <c r="Y7" s="10">
        <v>0.29261704850374559</v>
      </c>
      <c r="Z7" s="10">
        <v>0.30749537322329268</v>
      </c>
      <c r="AA7" s="10">
        <v>0.32200674861888828</v>
      </c>
      <c r="AB7" s="10">
        <v>0.17033904284669213</v>
      </c>
      <c r="AC7" s="10">
        <v>0.28924212437401942</v>
      </c>
      <c r="AD7" s="10">
        <v>0.31855760584317744</v>
      </c>
      <c r="AE7" s="10">
        <v>0.30646962941858735</v>
      </c>
      <c r="AF7" s="10">
        <v>0.27458903897206444</v>
      </c>
      <c r="AG7" s="10">
        <v>0.31217939197791778</v>
      </c>
      <c r="AH7" s="10">
        <v>0.326075292002592</v>
      </c>
      <c r="AI7" s="10">
        <v>0.17288691741164147</v>
      </c>
      <c r="AJ7" s="10">
        <v>0.98121347329160713</v>
      </c>
      <c r="AK7" s="10">
        <v>1.0187865267083926</v>
      </c>
      <c r="AL7" s="10">
        <v>0</v>
      </c>
      <c r="AM7" s="6">
        <v>2</v>
      </c>
      <c r="AN7" s="8">
        <v>2</v>
      </c>
      <c r="AO7" s="8">
        <v>2</v>
      </c>
      <c r="AP7" s="8">
        <v>2</v>
      </c>
      <c r="AQ7" s="8">
        <v>2</v>
      </c>
      <c r="AR7" s="8">
        <v>0</v>
      </c>
      <c r="AS7" s="64">
        <v>10</v>
      </c>
      <c r="AT7" s="8">
        <v>1.9276174183718613</v>
      </c>
      <c r="AU7" s="8">
        <v>1.5568626839542452</v>
      </c>
      <c r="AV7" s="8">
        <v>1.4641982454568205</v>
      </c>
      <c r="AW7" s="8">
        <v>1.4347796114001548</v>
      </c>
      <c r="AX7" s="8">
        <v>1.6399162105754039</v>
      </c>
      <c r="AY7" s="8">
        <v>2.5466431326029015</v>
      </c>
      <c r="AZ7" s="8">
        <v>3.4299826976386139</v>
      </c>
      <c r="BA7" s="8">
        <v>1.7173361584642439</v>
      </c>
      <c r="BB7" s="8">
        <v>1.410172606725046</v>
      </c>
      <c r="BC7" s="8">
        <v>1.2847910014989932</v>
      </c>
      <c r="BD7" s="8">
        <v>1.2619260174957163</v>
      </c>
      <c r="BE7" s="8">
        <v>1.7379028760936899</v>
      </c>
      <c r="BF7" s="8">
        <v>2.877643586432034</v>
      </c>
      <c r="BG7" s="8">
        <v>3.7102277532902774</v>
      </c>
      <c r="BH7" s="8">
        <v>1.9987818829458837</v>
      </c>
      <c r="BI7" s="8">
        <v>1.5488181729755093</v>
      </c>
      <c r="BJ7" s="8">
        <v>1.3898205598488123</v>
      </c>
      <c r="BK7" s="8">
        <v>1.2902257739241423</v>
      </c>
      <c r="BL7" s="8">
        <v>1.5787360979176375</v>
      </c>
      <c r="BM7" s="8">
        <v>2.8693737779731769</v>
      </c>
      <c r="BN7" s="8">
        <v>3.3242437344148388</v>
      </c>
      <c r="BO7" s="8">
        <v>1.6341138328293303</v>
      </c>
      <c r="BP7" s="8">
        <v>1.3155648940688169</v>
      </c>
      <c r="BQ7" s="8">
        <v>1.2208915110892566</v>
      </c>
      <c r="BR7" s="8">
        <v>1.1652179465255015</v>
      </c>
      <c r="BS7" s="8">
        <v>1.5229476308795431</v>
      </c>
      <c r="BT7" s="8">
        <v>2.8324357482505058</v>
      </c>
      <c r="BU7" s="8">
        <v>3.3088284363570439</v>
      </c>
      <c r="BV7" s="8">
        <v>2.6939963338440731</v>
      </c>
      <c r="BW7" s="8">
        <v>2.3060036661559264</v>
      </c>
      <c r="BX7" s="8">
        <v>0</v>
      </c>
      <c r="BY7" s="8">
        <v>14</v>
      </c>
      <c r="BZ7" s="8">
        <v>14</v>
      </c>
      <c r="CA7" s="8">
        <v>14</v>
      </c>
      <c r="CB7" s="8">
        <v>13</v>
      </c>
      <c r="CC7" s="8">
        <v>5</v>
      </c>
      <c r="CD7" s="8">
        <v>0</v>
      </c>
      <c r="CE7" s="8">
        <v>60</v>
      </c>
      <c r="CF7" s="9">
        <v>3.5456830045853107</v>
      </c>
      <c r="CG7" s="9">
        <v>3.0047044111966201</v>
      </c>
      <c r="CH7" s="9">
        <v>2.8224955737846864</v>
      </c>
      <c r="CI7" s="9">
        <v>2.7597612460522463</v>
      </c>
      <c r="CJ7" s="9">
        <v>3.1387666562556529</v>
      </c>
      <c r="CK7" s="9">
        <v>4.6605359405832143</v>
      </c>
      <c r="CL7" s="9">
        <v>6.0680531675422706</v>
      </c>
      <c r="CM7" s="9">
        <v>3.2131423595113247</v>
      </c>
      <c r="CN7" s="9">
        <v>2.7315973595510274</v>
      </c>
      <c r="CO7" s="9">
        <v>2.4758320966461533</v>
      </c>
      <c r="CP7" s="9">
        <v>2.4683260205422788</v>
      </c>
      <c r="CQ7" s="9">
        <v>3.3021539778213871</v>
      </c>
      <c r="CR7" s="9">
        <v>5.2734586439104207</v>
      </c>
      <c r="CS7" s="9">
        <v>6.5354895420174088</v>
      </c>
      <c r="CT7" s="9">
        <v>3.5636401686759798</v>
      </c>
      <c r="CU7" s="9">
        <v>2.8726479844894532</v>
      </c>
      <c r="CV7" s="9">
        <v>2.5827303595501427</v>
      </c>
      <c r="CW7" s="9">
        <v>2.4122736770934079</v>
      </c>
      <c r="CX7" s="9">
        <v>2.9011332483736973</v>
      </c>
      <c r="CY7" s="9">
        <v>5.0359779552891073</v>
      </c>
      <c r="CZ7" s="9">
        <v>5.6315966065282126</v>
      </c>
      <c r="DA7" s="9">
        <v>3.0546655337775013</v>
      </c>
      <c r="DB7" s="9">
        <v>2.5448981958057906</v>
      </c>
      <c r="DC7" s="9">
        <v>2.3725937251080986</v>
      </c>
      <c r="DD7" s="9">
        <v>2.2464963330921437</v>
      </c>
      <c r="DE7" s="9">
        <v>2.8894753826971442</v>
      </c>
      <c r="DF7" s="9">
        <v>5.1194280967342172</v>
      </c>
      <c r="DG7" s="9">
        <v>5.7724427327851</v>
      </c>
      <c r="DH7" s="9">
        <v>4.8371452683885785</v>
      </c>
      <c r="DI7" s="9">
        <v>4.1628547316114206</v>
      </c>
      <c r="DJ7" s="9"/>
      <c r="DK7" s="9">
        <v>26</v>
      </c>
      <c r="DL7" s="9">
        <v>26</v>
      </c>
      <c r="DM7" s="9">
        <v>25</v>
      </c>
      <c r="DN7" s="9">
        <v>24</v>
      </c>
      <c r="DO7" s="9">
        <v>9</v>
      </c>
      <c r="DP7" s="9"/>
      <c r="DQ7" s="9">
        <v>110</v>
      </c>
      <c r="DR7" s="8">
        <f>+SUM(Tabla2[[#This Row],[1 gral]:[1 gral]])</f>
        <v>3.5456830045853107</v>
      </c>
      <c r="DS7" s="8">
        <f>+SUM(Tabla2[[#This Row],[1 temm]:[1 temm]])</f>
        <v>1.9276174183718613</v>
      </c>
      <c r="DT7" s="8">
        <f>+SUM(Tabla2[[#This Row],[1 porta]:[1 porta]])</f>
        <v>0.24119600166211994</v>
      </c>
      <c r="DU7" s="8">
        <f>+Tabla2[[#This Row],[GRAL]]-(Tabla2[[#This Row],[TEMM14]]+Tabla2[[#This Row],[PORTA15]])</f>
        <v>1.3768695845513297</v>
      </c>
    </row>
    <row r="8" spans="1:125" x14ac:dyDescent="0.2">
      <c r="A8" s="84" t="s">
        <v>99</v>
      </c>
      <c r="B8" s="84" t="s">
        <v>482</v>
      </c>
      <c r="C8" s="11" t="s">
        <v>126</v>
      </c>
      <c r="D8" s="11">
        <v>2090172</v>
      </c>
      <c r="E8" s="11" t="s">
        <v>19</v>
      </c>
      <c r="F8" s="11" t="s">
        <v>306</v>
      </c>
      <c r="G8" s="43" t="s">
        <v>280</v>
      </c>
      <c r="H8" s="10">
        <v>0.24119600166211994</v>
      </c>
      <c r="I8" s="10">
        <v>0.33579695298934253</v>
      </c>
      <c r="J8" s="10">
        <v>0.31244143871585139</v>
      </c>
      <c r="K8" s="10">
        <v>0.30013905508055283</v>
      </c>
      <c r="L8" s="10">
        <v>0.32748172384067437</v>
      </c>
      <c r="M8" s="10">
        <v>0.29486199897824017</v>
      </c>
      <c r="N8" s="10">
        <v>0.18808282873321855</v>
      </c>
      <c r="O8" s="10">
        <v>0.26913751642976363</v>
      </c>
      <c r="P8" s="10">
        <v>0.31415860516523431</v>
      </c>
      <c r="Q8" s="10">
        <v>0.27333323693359379</v>
      </c>
      <c r="R8" s="10">
        <v>0.30502427626390816</v>
      </c>
      <c r="S8" s="10">
        <v>0.32289190451791866</v>
      </c>
      <c r="T8" s="10">
        <v>0.34035535288407659</v>
      </c>
      <c r="U8" s="10">
        <v>0.17509910780550492</v>
      </c>
      <c r="V8" s="10">
        <v>0.27992707526488514</v>
      </c>
      <c r="W8" s="10">
        <v>0.32816098602968802</v>
      </c>
      <c r="X8" s="10">
        <v>0.29945372551280836</v>
      </c>
      <c r="Y8" s="10">
        <v>0.29261704850374559</v>
      </c>
      <c r="Z8" s="10">
        <v>0.30749537322329268</v>
      </c>
      <c r="AA8" s="10">
        <v>0.32200674861888828</v>
      </c>
      <c r="AB8" s="10">
        <v>0.17033904284669213</v>
      </c>
      <c r="AC8" s="10">
        <v>0.28924212437401942</v>
      </c>
      <c r="AD8" s="10">
        <v>0.31855760584317744</v>
      </c>
      <c r="AE8" s="10">
        <v>0.30646962941858735</v>
      </c>
      <c r="AF8" s="10">
        <v>0.27458903897206444</v>
      </c>
      <c r="AG8" s="10">
        <v>0.31217939197791778</v>
      </c>
      <c r="AH8" s="10">
        <v>0.326075292002592</v>
      </c>
      <c r="AI8" s="10">
        <v>0.17288691741164147</v>
      </c>
      <c r="AJ8" s="10">
        <v>0.98121347329160713</v>
      </c>
      <c r="AK8" s="10">
        <v>1.0187865267083926</v>
      </c>
      <c r="AL8" s="10">
        <v>0</v>
      </c>
      <c r="AM8" s="6">
        <v>2</v>
      </c>
      <c r="AN8" s="8">
        <v>2</v>
      </c>
      <c r="AO8" s="8">
        <v>2</v>
      </c>
      <c r="AP8" s="8">
        <v>2</v>
      </c>
      <c r="AQ8" s="8">
        <v>2</v>
      </c>
      <c r="AR8" s="8">
        <v>0</v>
      </c>
      <c r="AS8" s="64">
        <v>10</v>
      </c>
      <c r="AT8" s="8">
        <v>1.6522435014615955</v>
      </c>
      <c r="AU8" s="8">
        <v>1.3344537291036387</v>
      </c>
      <c r="AV8" s="8">
        <v>1.2550270675344177</v>
      </c>
      <c r="AW8" s="8">
        <v>1.229811095485847</v>
      </c>
      <c r="AX8" s="8">
        <v>1.4056424662074891</v>
      </c>
      <c r="AY8" s="8">
        <v>2.1828369708024868</v>
      </c>
      <c r="AZ8" s="8">
        <v>2.939985169404526</v>
      </c>
      <c r="BA8" s="8">
        <v>1.4720024215407805</v>
      </c>
      <c r="BB8" s="8">
        <v>1.2087193771928966</v>
      </c>
      <c r="BC8" s="8">
        <v>1.1012494298562798</v>
      </c>
      <c r="BD8" s="8">
        <v>1.0816508721391853</v>
      </c>
      <c r="BE8" s="8">
        <v>1.4896310366517342</v>
      </c>
      <c r="BF8" s="8">
        <v>2.4665516455131717</v>
      </c>
      <c r="BG8" s="8">
        <v>3.1801952171059522</v>
      </c>
      <c r="BH8" s="8">
        <v>1.5704714794574799</v>
      </c>
      <c r="BI8" s="8">
        <v>1.2169285644807573</v>
      </c>
      <c r="BJ8" s="8">
        <v>1.0920018684526382</v>
      </c>
      <c r="BK8" s="8">
        <v>1.013748822368969</v>
      </c>
      <c r="BL8" s="8">
        <v>1.2404355055067151</v>
      </c>
      <c r="BM8" s="8">
        <v>2.2545079684074962</v>
      </c>
      <c r="BN8" s="8">
        <v>2.6119057913259449</v>
      </c>
      <c r="BO8" s="8">
        <v>1.382711704701741</v>
      </c>
      <c r="BP8" s="8">
        <v>1.1131702949813065</v>
      </c>
      <c r="BQ8" s="8">
        <v>1.0330620478447554</v>
      </c>
      <c r="BR8" s="8">
        <v>0.98595364706003974</v>
      </c>
      <c r="BS8" s="8">
        <v>1.2886479953596135</v>
      </c>
      <c r="BT8" s="8">
        <v>2.3966764023658129</v>
      </c>
      <c r="BU8" s="8">
        <v>2.7997779076867291</v>
      </c>
      <c r="BV8" s="8">
        <v>1.1016947985991348</v>
      </c>
      <c r="BW8" s="8">
        <v>0.89830520140086512</v>
      </c>
      <c r="BX8" s="8">
        <v>0</v>
      </c>
      <c r="BY8" s="8">
        <v>12</v>
      </c>
      <c r="BZ8" s="8">
        <v>12</v>
      </c>
      <c r="CA8" s="8">
        <v>11</v>
      </c>
      <c r="CB8" s="8">
        <v>11</v>
      </c>
      <c r="CC8" s="8">
        <v>2</v>
      </c>
      <c r="CD8" s="8">
        <v>0</v>
      </c>
      <c r="CE8" s="8">
        <v>48</v>
      </c>
      <c r="CF8" s="9">
        <v>2.9949351707647791</v>
      </c>
      <c r="CG8" s="9">
        <v>2.5598865014954071</v>
      </c>
      <c r="CH8" s="9">
        <v>2.4041532179398808</v>
      </c>
      <c r="CI8" s="9">
        <v>2.3498242142236307</v>
      </c>
      <c r="CJ8" s="9">
        <v>2.6702191675198228</v>
      </c>
      <c r="CK8" s="9">
        <v>3.9329236169823849</v>
      </c>
      <c r="CL8" s="9">
        <v>5.0880581110740959</v>
      </c>
      <c r="CM8" s="9">
        <v>2.7224748856643979</v>
      </c>
      <c r="CN8" s="9">
        <v>2.3286909004867287</v>
      </c>
      <c r="CO8" s="9">
        <v>2.1087489533607271</v>
      </c>
      <c r="CP8" s="9">
        <v>2.1077757298292168</v>
      </c>
      <c r="CQ8" s="9">
        <v>2.8056102989374754</v>
      </c>
      <c r="CR8" s="9">
        <v>4.4512747620726962</v>
      </c>
      <c r="CS8" s="9">
        <v>5.4754244696487584</v>
      </c>
      <c r="CT8" s="9">
        <v>2.849789496195307</v>
      </c>
      <c r="CU8" s="9">
        <v>2.3194986369981998</v>
      </c>
      <c r="CV8" s="9">
        <v>2.0863658738898527</v>
      </c>
      <c r="CW8" s="9">
        <v>1.9514787578347859</v>
      </c>
      <c r="CX8" s="9">
        <v>2.3372989276888267</v>
      </c>
      <c r="CY8" s="9">
        <v>4.0112016060129729</v>
      </c>
      <c r="CZ8" s="9">
        <v>4.4443667013800567</v>
      </c>
      <c r="DA8" s="9">
        <v>2.5518612775223226</v>
      </c>
      <c r="DB8" s="9">
        <v>2.1401089976307697</v>
      </c>
      <c r="DC8" s="9">
        <v>1.9969347986190962</v>
      </c>
      <c r="DD8" s="9">
        <v>1.8879677341612202</v>
      </c>
      <c r="DE8" s="9">
        <v>2.420876111657285</v>
      </c>
      <c r="DF8" s="9">
        <v>4.2479094049648314</v>
      </c>
      <c r="DG8" s="9">
        <v>4.7543416754444712</v>
      </c>
      <c r="DH8" s="9">
        <v>3.1846030704898762</v>
      </c>
      <c r="DI8" s="9">
        <v>2.8153969295101229</v>
      </c>
      <c r="DJ8" s="9"/>
      <c r="DK8" s="9">
        <v>22</v>
      </c>
      <c r="DL8" s="9">
        <v>22</v>
      </c>
      <c r="DM8" s="9">
        <v>20</v>
      </c>
      <c r="DN8" s="9">
        <v>20</v>
      </c>
      <c r="DO8" s="9">
        <v>6</v>
      </c>
      <c r="DP8" s="9"/>
      <c r="DQ8" s="9">
        <v>90</v>
      </c>
      <c r="DR8" s="8">
        <f>+SUM(Tabla2[[#This Row],[1 gral]:[1 gral]])</f>
        <v>2.9949351707647791</v>
      </c>
      <c r="DS8" s="8">
        <f>+SUM(Tabla2[[#This Row],[1 temm]:[1 temm]])</f>
        <v>1.6522435014615955</v>
      </c>
      <c r="DT8" s="8">
        <f>+SUM(Tabla2[[#This Row],[1 porta]:[1 porta]])</f>
        <v>0.24119600166211994</v>
      </c>
      <c r="DU8" s="8">
        <f>+Tabla2[[#This Row],[GRAL]]-(Tabla2[[#This Row],[TEMM14]]+Tabla2[[#This Row],[PORTA15]])</f>
        <v>1.1014956676410637</v>
      </c>
    </row>
    <row r="9" spans="1:125" hidden="1" x14ac:dyDescent="0.2">
      <c r="A9" s="84" t="s">
        <v>454</v>
      </c>
      <c r="B9" s="84" t="s">
        <v>483</v>
      </c>
      <c r="C9" s="11" t="s">
        <v>450</v>
      </c>
      <c r="D9" s="11">
        <v>2090173</v>
      </c>
      <c r="E9" s="11" t="s">
        <v>388</v>
      </c>
      <c r="F9" s="11" t="s">
        <v>459</v>
      </c>
      <c r="G9" s="43" t="s">
        <v>280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0.98121347329160713</v>
      </c>
      <c r="AK9" s="10">
        <v>1.0187865267083926</v>
      </c>
      <c r="AL9" s="10">
        <v>0</v>
      </c>
      <c r="AM9" s="6">
        <v>0</v>
      </c>
      <c r="AN9" s="8">
        <v>0</v>
      </c>
      <c r="AO9" s="8">
        <v>0</v>
      </c>
      <c r="AP9" s="8">
        <v>0</v>
      </c>
      <c r="AQ9" s="8">
        <v>2</v>
      </c>
      <c r="AR9" s="8">
        <v>0</v>
      </c>
      <c r="AS9" s="64">
        <v>2</v>
      </c>
      <c r="AT9" s="8">
        <v>0.96380870918593065</v>
      </c>
      <c r="AU9" s="8">
        <v>0.7784313419771226</v>
      </c>
      <c r="AV9" s="8">
        <v>0.73209912272841027</v>
      </c>
      <c r="AW9" s="8">
        <v>0.71738980570007738</v>
      </c>
      <c r="AX9" s="8">
        <v>0.81995810528770197</v>
      </c>
      <c r="AY9" s="8">
        <v>1.2733215663014508</v>
      </c>
      <c r="AZ9" s="8">
        <v>1.7149913488193069</v>
      </c>
      <c r="BA9" s="8">
        <v>0.85866807923212196</v>
      </c>
      <c r="BB9" s="8">
        <v>0.70508630336252298</v>
      </c>
      <c r="BC9" s="8">
        <v>0.64239550074949658</v>
      </c>
      <c r="BD9" s="8">
        <v>0.63096300874785816</v>
      </c>
      <c r="BE9" s="8">
        <v>0.86895143804684494</v>
      </c>
      <c r="BF9" s="8">
        <v>1.438821793216017</v>
      </c>
      <c r="BG9" s="8">
        <v>1.8551138766451387</v>
      </c>
      <c r="BH9" s="8">
        <v>0.85662080697680731</v>
      </c>
      <c r="BI9" s="8">
        <v>0.66377921698950393</v>
      </c>
      <c r="BJ9" s="8">
        <v>0.59563738279234812</v>
      </c>
      <c r="BK9" s="8">
        <v>0.55295390311034676</v>
      </c>
      <c r="BL9" s="8">
        <v>0.67660118482184461</v>
      </c>
      <c r="BM9" s="8">
        <v>1.2297316191313614</v>
      </c>
      <c r="BN9" s="8">
        <v>1.4246758861777882</v>
      </c>
      <c r="BO9" s="8">
        <v>0.75420638438276777</v>
      </c>
      <c r="BP9" s="8">
        <v>0.60718379726253091</v>
      </c>
      <c r="BQ9" s="8">
        <v>0.56348838973350301</v>
      </c>
      <c r="BR9" s="8">
        <v>0.53779289839638533</v>
      </c>
      <c r="BS9" s="8">
        <v>0.70289890655978915</v>
      </c>
      <c r="BT9" s="8">
        <v>1.3072780376540796</v>
      </c>
      <c r="BU9" s="8">
        <v>1.5271515860109433</v>
      </c>
      <c r="BV9" s="8">
        <v>0.55084739929956739</v>
      </c>
      <c r="BW9" s="8">
        <v>0.44915260070043256</v>
      </c>
      <c r="BX9" s="8">
        <v>0</v>
      </c>
      <c r="BY9" s="8">
        <v>7</v>
      </c>
      <c r="BZ9" s="8">
        <v>7</v>
      </c>
      <c r="CA9" s="8">
        <v>6</v>
      </c>
      <c r="CB9" s="8">
        <v>6</v>
      </c>
      <c r="CC9" s="8">
        <v>1</v>
      </c>
      <c r="CD9" s="8">
        <v>0</v>
      </c>
      <c r="CE9" s="8">
        <v>27</v>
      </c>
      <c r="CF9" s="9">
        <v>1.6522435014615955</v>
      </c>
      <c r="CG9" s="9">
        <v>1.3344537291036387</v>
      </c>
      <c r="CH9" s="9">
        <v>1.2550270675344177</v>
      </c>
      <c r="CI9" s="9">
        <v>1.229811095485847</v>
      </c>
      <c r="CJ9" s="9">
        <v>1.4056424662074891</v>
      </c>
      <c r="CK9" s="9">
        <v>2.1828369708024868</v>
      </c>
      <c r="CL9" s="9">
        <v>2.939985169404526</v>
      </c>
      <c r="CM9" s="9">
        <v>1.4720024215407805</v>
      </c>
      <c r="CN9" s="9">
        <v>1.2087193771928966</v>
      </c>
      <c r="CO9" s="9">
        <v>1.1012494298562798</v>
      </c>
      <c r="CP9" s="9">
        <v>1.0816508721391853</v>
      </c>
      <c r="CQ9" s="9">
        <v>1.4896310366517342</v>
      </c>
      <c r="CR9" s="9">
        <v>2.4665516455131717</v>
      </c>
      <c r="CS9" s="9">
        <v>3.1801952171059522</v>
      </c>
      <c r="CT9" s="9">
        <v>1.5704714794574799</v>
      </c>
      <c r="CU9" s="9">
        <v>1.216928564480757</v>
      </c>
      <c r="CV9" s="9">
        <v>1.0920018684526382</v>
      </c>
      <c r="CW9" s="9">
        <v>1.013748822368969</v>
      </c>
      <c r="CX9" s="9">
        <v>1.2404355055067151</v>
      </c>
      <c r="CY9" s="9">
        <v>2.2545079684074958</v>
      </c>
      <c r="CZ9" s="9">
        <v>2.6119057913259449</v>
      </c>
      <c r="DA9" s="9">
        <v>1.382711704701741</v>
      </c>
      <c r="DB9" s="9">
        <v>1.1131702949813067</v>
      </c>
      <c r="DC9" s="9">
        <v>1.0330620478447554</v>
      </c>
      <c r="DD9" s="9">
        <v>0.98595364706003974</v>
      </c>
      <c r="DE9" s="9">
        <v>1.2886479953596135</v>
      </c>
      <c r="DF9" s="9">
        <v>2.3966764023658129</v>
      </c>
      <c r="DG9" s="9">
        <v>2.7997779076867291</v>
      </c>
      <c r="DH9" s="9">
        <v>1.5320608725911744</v>
      </c>
      <c r="DI9" s="9">
        <v>1.4679391274088252</v>
      </c>
      <c r="DJ9" s="9"/>
      <c r="DK9" s="9">
        <v>12</v>
      </c>
      <c r="DL9" s="9">
        <v>12</v>
      </c>
      <c r="DM9" s="9">
        <v>11</v>
      </c>
      <c r="DN9" s="9">
        <v>11</v>
      </c>
      <c r="DO9" s="9">
        <v>3</v>
      </c>
      <c r="DP9" s="9"/>
      <c r="DQ9" s="9">
        <v>49</v>
      </c>
      <c r="DR9" s="8">
        <f>+SUM(Tabla2[[#This Row],[1 gral]:[1 gral]])</f>
        <v>1.6522435014615955</v>
      </c>
      <c r="DS9" s="8">
        <f>+SUM(Tabla2[[#This Row],[1 temm]:[1 temm]])</f>
        <v>0.96380870918593065</v>
      </c>
      <c r="DT9" s="8">
        <f>+SUM(Tabla2[[#This Row],[1 porta]:[1 porta]])</f>
        <v>0</v>
      </c>
      <c r="DU9" s="8">
        <f>+Tabla2[[#This Row],[GRAL]]-(Tabla2[[#This Row],[TEMM14]]+Tabla2[[#This Row],[PORTA15]])</f>
        <v>0.68843479227566484</v>
      </c>
    </row>
    <row r="10" spans="1:125" hidden="1" x14ac:dyDescent="0.2">
      <c r="A10" s="84" t="s">
        <v>455</v>
      </c>
      <c r="B10" s="84" t="s">
        <v>483</v>
      </c>
      <c r="C10" s="11" t="s">
        <v>451</v>
      </c>
      <c r="D10" s="11">
        <v>2090174</v>
      </c>
      <c r="E10" s="11" t="s">
        <v>389</v>
      </c>
      <c r="F10" s="11" t="s">
        <v>460</v>
      </c>
      <c r="G10" s="43" t="s">
        <v>280</v>
      </c>
      <c r="H10" s="10">
        <v>0.12059800083105997</v>
      </c>
      <c r="I10" s="10">
        <v>0.16789847649467127</v>
      </c>
      <c r="J10" s="10">
        <v>0.1562207193579257</v>
      </c>
      <c r="K10" s="10">
        <v>0.15006952754027642</v>
      </c>
      <c r="L10" s="10">
        <v>0.16374086192033718</v>
      </c>
      <c r="M10" s="10">
        <v>0.14743099948912008</v>
      </c>
      <c r="N10" s="10">
        <v>9.4041414366609274E-2</v>
      </c>
      <c r="O10" s="10">
        <v>0.13456875821488182</v>
      </c>
      <c r="P10" s="10">
        <v>0.15707930258261715</v>
      </c>
      <c r="Q10" s="10">
        <v>0.1366666184667969</v>
      </c>
      <c r="R10" s="10">
        <v>0.15251213813195408</v>
      </c>
      <c r="S10" s="10">
        <v>0.16144595225895933</v>
      </c>
      <c r="T10" s="10">
        <v>0.17017767644203829</v>
      </c>
      <c r="U10" s="10">
        <v>8.7549553902752458E-2</v>
      </c>
      <c r="V10" s="10">
        <v>0.13996353763244257</v>
      </c>
      <c r="W10" s="10">
        <v>0.16408049301484401</v>
      </c>
      <c r="X10" s="10">
        <v>0.14972686275640418</v>
      </c>
      <c r="Y10" s="10">
        <v>0.1463085242518728</v>
      </c>
      <c r="Z10" s="10">
        <v>0.15374768661164634</v>
      </c>
      <c r="AA10" s="10">
        <v>0.16100337430944414</v>
      </c>
      <c r="AB10" s="10">
        <v>8.5169521423346065E-2</v>
      </c>
      <c r="AC10" s="10">
        <v>0.14462106218700971</v>
      </c>
      <c r="AD10" s="10">
        <v>0.15927880292158872</v>
      </c>
      <c r="AE10" s="10">
        <v>0.15323481470929368</v>
      </c>
      <c r="AF10" s="10">
        <v>0.13729451948603222</v>
      </c>
      <c r="AG10" s="10">
        <v>0.15608969598895889</v>
      </c>
      <c r="AH10" s="10">
        <v>0.163037646001296</v>
      </c>
      <c r="AI10" s="10">
        <v>8.6443458705820736E-2</v>
      </c>
      <c r="AJ10" s="10">
        <v>0</v>
      </c>
      <c r="AK10" s="10">
        <v>0</v>
      </c>
      <c r="AL10" s="10">
        <v>0</v>
      </c>
      <c r="AM10" s="6">
        <v>1</v>
      </c>
      <c r="AN10" s="8">
        <v>1</v>
      </c>
      <c r="AO10" s="8">
        <v>1</v>
      </c>
      <c r="AP10" s="8">
        <v>1</v>
      </c>
      <c r="AQ10" s="8">
        <v>0</v>
      </c>
      <c r="AR10" s="8">
        <v>0</v>
      </c>
      <c r="AS10" s="64">
        <v>4</v>
      </c>
      <c r="AT10" s="8">
        <v>0.96380870918593065</v>
      </c>
      <c r="AU10" s="8">
        <v>0.7784313419771226</v>
      </c>
      <c r="AV10" s="8">
        <v>0.73209912272841027</v>
      </c>
      <c r="AW10" s="8">
        <v>0.71738980570007738</v>
      </c>
      <c r="AX10" s="8">
        <v>0.81995810528770197</v>
      </c>
      <c r="AY10" s="8">
        <v>1.2733215663014508</v>
      </c>
      <c r="AZ10" s="8">
        <v>1.7149913488193069</v>
      </c>
      <c r="BA10" s="8">
        <v>0.85866807923212196</v>
      </c>
      <c r="BB10" s="8">
        <v>0.70508630336252298</v>
      </c>
      <c r="BC10" s="8">
        <v>0.64239550074949658</v>
      </c>
      <c r="BD10" s="8">
        <v>0.63096300874785816</v>
      </c>
      <c r="BE10" s="8">
        <v>0.86895143804684494</v>
      </c>
      <c r="BF10" s="8">
        <v>1.438821793216017</v>
      </c>
      <c r="BG10" s="8">
        <v>1.8551138766451387</v>
      </c>
      <c r="BH10" s="8">
        <v>0.99939094147294183</v>
      </c>
      <c r="BI10" s="8">
        <v>0.77440908648775464</v>
      </c>
      <c r="BJ10" s="8">
        <v>0.69491027992440613</v>
      </c>
      <c r="BK10" s="8">
        <v>0.64511288696207114</v>
      </c>
      <c r="BL10" s="8">
        <v>0.78936804895881874</v>
      </c>
      <c r="BM10" s="8">
        <v>1.4346868889865885</v>
      </c>
      <c r="BN10" s="8">
        <v>1.6621218672074194</v>
      </c>
      <c r="BO10" s="8">
        <v>0.87990744844656243</v>
      </c>
      <c r="BP10" s="8">
        <v>0.70838109680628603</v>
      </c>
      <c r="BQ10" s="8">
        <v>0.65740312135575352</v>
      </c>
      <c r="BR10" s="8">
        <v>0.62742504812911615</v>
      </c>
      <c r="BS10" s="8">
        <v>0.82004872431975406</v>
      </c>
      <c r="BT10" s="8">
        <v>1.5251577105964262</v>
      </c>
      <c r="BU10" s="8">
        <v>1.7816768503461005</v>
      </c>
      <c r="BV10" s="8">
        <v>0.55084739929956739</v>
      </c>
      <c r="BW10" s="8">
        <v>0.44915260070043256</v>
      </c>
      <c r="BX10" s="8">
        <v>0</v>
      </c>
      <c r="BY10" s="8">
        <v>7</v>
      </c>
      <c r="BZ10" s="8">
        <v>7</v>
      </c>
      <c r="CA10" s="8">
        <v>7</v>
      </c>
      <c r="CB10" s="8">
        <v>7</v>
      </c>
      <c r="CC10" s="8">
        <v>1</v>
      </c>
      <c r="CD10" s="8">
        <v>0</v>
      </c>
      <c r="CE10" s="8">
        <v>29</v>
      </c>
      <c r="CF10" s="9">
        <v>1.7728415022926554</v>
      </c>
      <c r="CG10" s="9">
        <v>1.5023522055983101</v>
      </c>
      <c r="CH10" s="9">
        <v>1.4112477868923432</v>
      </c>
      <c r="CI10" s="9">
        <v>1.3798806230261231</v>
      </c>
      <c r="CJ10" s="9">
        <v>1.5693833281278264</v>
      </c>
      <c r="CK10" s="9">
        <v>2.3302679702916071</v>
      </c>
      <c r="CL10" s="9">
        <v>3.0340265837711353</v>
      </c>
      <c r="CM10" s="9">
        <v>1.6065711797556623</v>
      </c>
      <c r="CN10" s="9">
        <v>1.3657986797755137</v>
      </c>
      <c r="CO10" s="9">
        <v>1.2379160483230767</v>
      </c>
      <c r="CP10" s="9">
        <v>1.2341630102711394</v>
      </c>
      <c r="CQ10" s="9">
        <v>1.6510769889106935</v>
      </c>
      <c r="CR10" s="9">
        <v>2.6367293219552104</v>
      </c>
      <c r="CS10" s="9">
        <v>3.2677447710087044</v>
      </c>
      <c r="CT10" s="9">
        <v>1.853205151586057</v>
      </c>
      <c r="CU10" s="9">
        <v>1.4916389269938519</v>
      </c>
      <c r="CV10" s="9">
        <v>1.3410016283411004</v>
      </c>
      <c r="CW10" s="9">
        <v>1.2522163304725662</v>
      </c>
      <c r="CX10" s="9">
        <v>1.5069500562553357</v>
      </c>
      <c r="CY10" s="9">
        <v>2.6204666125721672</v>
      </c>
      <c r="CZ10" s="9">
        <v>2.9345212937789222</v>
      </c>
      <c r="DA10" s="9">
        <v>1.6530338309525454</v>
      </c>
      <c r="DB10" s="9">
        <v>1.3736463974466504</v>
      </c>
      <c r="DC10" s="9">
        <v>1.2802115941762997</v>
      </c>
      <c r="DD10" s="9">
        <v>1.2128803162788029</v>
      </c>
      <c r="DE10" s="9">
        <v>1.5618875091085371</v>
      </c>
      <c r="DF10" s="9">
        <v>2.7775937213094553</v>
      </c>
      <c r="DG10" s="9">
        <v>3.1407466307277074</v>
      </c>
      <c r="DH10" s="9">
        <v>1.6525421978987023</v>
      </c>
      <c r="DI10" s="9">
        <v>1.3474578021012977</v>
      </c>
      <c r="DJ10" s="9"/>
      <c r="DK10" s="9">
        <v>13</v>
      </c>
      <c r="DL10" s="9">
        <v>13</v>
      </c>
      <c r="DM10" s="9">
        <v>13</v>
      </c>
      <c r="DN10" s="9">
        <v>13</v>
      </c>
      <c r="DO10" s="9">
        <v>3</v>
      </c>
      <c r="DP10" s="9"/>
      <c r="DQ10" s="9">
        <v>55</v>
      </c>
      <c r="DR10" s="8">
        <f>+SUM(Tabla2[[#This Row],[1 gral]:[1 gral]])</f>
        <v>1.7728415022926554</v>
      </c>
      <c r="DS10" s="8">
        <f>+SUM(Tabla2[[#This Row],[1 temm]:[1 temm]])</f>
        <v>0.96380870918593065</v>
      </c>
      <c r="DT10" s="8">
        <f>+SUM(Tabla2[[#This Row],[1 porta]:[1 porta]])</f>
        <v>0.12059800083105997</v>
      </c>
      <c r="DU10" s="8">
        <f>+Tabla2[[#This Row],[GRAL]]-(Tabla2[[#This Row],[TEMM14]]+Tabla2[[#This Row],[PORTA15]])</f>
        <v>0.68843479227566484</v>
      </c>
    </row>
    <row r="11" spans="1:125" hidden="1" x14ac:dyDescent="0.2">
      <c r="A11" s="84" t="s">
        <v>455</v>
      </c>
      <c r="B11" s="84" t="s">
        <v>483</v>
      </c>
      <c r="C11" s="11" t="s">
        <v>451</v>
      </c>
      <c r="D11" s="11">
        <v>2090175</v>
      </c>
      <c r="E11" s="11" t="s">
        <v>390</v>
      </c>
      <c r="F11" s="11" t="s">
        <v>460</v>
      </c>
      <c r="G11" s="43" t="s">
        <v>280</v>
      </c>
      <c r="H11" s="10">
        <v>0.24119600166211994</v>
      </c>
      <c r="I11" s="10">
        <v>0.33579695298934253</v>
      </c>
      <c r="J11" s="10">
        <v>0.31244143871585139</v>
      </c>
      <c r="K11" s="10">
        <v>0.30013905508055283</v>
      </c>
      <c r="L11" s="10">
        <v>0.32748172384067437</v>
      </c>
      <c r="M11" s="10">
        <v>0.29486199897824017</v>
      </c>
      <c r="N11" s="10">
        <v>0.18808282873321855</v>
      </c>
      <c r="O11" s="10">
        <v>0.26913751642976363</v>
      </c>
      <c r="P11" s="10">
        <v>0.31415860516523431</v>
      </c>
      <c r="Q11" s="10">
        <v>0.27333323693359379</v>
      </c>
      <c r="R11" s="10">
        <v>0.30502427626390816</v>
      </c>
      <c r="S11" s="10">
        <v>0.32289190451791866</v>
      </c>
      <c r="T11" s="10">
        <v>0.34035535288407659</v>
      </c>
      <c r="U11" s="10">
        <v>0.17509910780550492</v>
      </c>
      <c r="V11" s="10">
        <v>0.27992707526488514</v>
      </c>
      <c r="W11" s="10">
        <v>0.32816098602968802</v>
      </c>
      <c r="X11" s="10">
        <v>0.29945372551280836</v>
      </c>
      <c r="Y11" s="10">
        <v>0.29261704850374559</v>
      </c>
      <c r="Z11" s="10">
        <v>0.30749537322329268</v>
      </c>
      <c r="AA11" s="10">
        <v>0.32200674861888828</v>
      </c>
      <c r="AB11" s="10">
        <v>0.17033904284669213</v>
      </c>
      <c r="AC11" s="10">
        <v>0.28924212437401942</v>
      </c>
      <c r="AD11" s="10">
        <v>0.31855760584317744</v>
      </c>
      <c r="AE11" s="10">
        <v>0.30646962941858735</v>
      </c>
      <c r="AF11" s="10">
        <v>0.27458903897206444</v>
      </c>
      <c r="AG11" s="10">
        <v>0.31217939197791778</v>
      </c>
      <c r="AH11" s="10">
        <v>0.326075292002592</v>
      </c>
      <c r="AI11" s="10">
        <v>0.17288691741164147</v>
      </c>
      <c r="AJ11" s="10">
        <v>0.98121347329160713</v>
      </c>
      <c r="AK11" s="10">
        <v>1.0187865267083926</v>
      </c>
      <c r="AL11" s="10">
        <v>0</v>
      </c>
      <c r="AM11" s="6">
        <v>2</v>
      </c>
      <c r="AN11" s="8">
        <v>2</v>
      </c>
      <c r="AO11" s="8">
        <v>2</v>
      </c>
      <c r="AP11" s="8">
        <v>2</v>
      </c>
      <c r="AQ11" s="8">
        <v>2</v>
      </c>
      <c r="AR11" s="8">
        <v>0</v>
      </c>
      <c r="AS11" s="64">
        <v>10</v>
      </c>
      <c r="AT11" s="8">
        <v>2.6160522106475264</v>
      </c>
      <c r="AU11" s="8">
        <v>2.1128850710807616</v>
      </c>
      <c r="AV11" s="8">
        <v>1.9871261902628279</v>
      </c>
      <c r="AW11" s="8">
        <v>1.9472009011859241</v>
      </c>
      <c r="AX11" s="8">
        <v>2.2256005714951912</v>
      </c>
      <c r="AY11" s="8">
        <v>3.4561585371039376</v>
      </c>
      <c r="AZ11" s="8">
        <v>4.6549765182238332</v>
      </c>
      <c r="BA11" s="8">
        <v>2.3306705007729023</v>
      </c>
      <c r="BB11" s="8">
        <v>1.9138056805554196</v>
      </c>
      <c r="BC11" s="8">
        <v>1.7436449306057764</v>
      </c>
      <c r="BD11" s="8">
        <v>1.7126138808870435</v>
      </c>
      <c r="BE11" s="8">
        <v>2.3585824746985788</v>
      </c>
      <c r="BF11" s="8">
        <v>3.905373438729189</v>
      </c>
      <c r="BG11" s="8">
        <v>5.0353090937510903</v>
      </c>
      <c r="BH11" s="8">
        <v>2.5698624209304217</v>
      </c>
      <c r="BI11" s="8">
        <v>1.9913376509685117</v>
      </c>
      <c r="BJ11" s="8">
        <v>1.7869121483770443</v>
      </c>
      <c r="BK11" s="8">
        <v>1.6588617093310403</v>
      </c>
      <c r="BL11" s="8">
        <v>2.0298035544655337</v>
      </c>
      <c r="BM11" s="8">
        <v>3.6891948573940843</v>
      </c>
      <c r="BN11" s="8">
        <v>4.2740276585333641</v>
      </c>
      <c r="BO11" s="8">
        <v>2.2626191531483033</v>
      </c>
      <c r="BP11" s="8">
        <v>1.8215513917875925</v>
      </c>
      <c r="BQ11" s="8">
        <v>1.690465169200509</v>
      </c>
      <c r="BR11" s="8">
        <v>1.613378695189156</v>
      </c>
      <c r="BS11" s="8">
        <v>2.1086967196793673</v>
      </c>
      <c r="BT11" s="8">
        <v>3.9218341129622392</v>
      </c>
      <c r="BU11" s="8">
        <v>4.5814547580328302</v>
      </c>
      <c r="BV11" s="8">
        <v>2.7542369964978368</v>
      </c>
      <c r="BW11" s="8">
        <v>2.2457630035021627</v>
      </c>
      <c r="BX11" s="8">
        <v>0</v>
      </c>
      <c r="BY11" s="8">
        <v>19</v>
      </c>
      <c r="BZ11" s="8">
        <v>19</v>
      </c>
      <c r="CA11" s="8">
        <v>18</v>
      </c>
      <c r="CB11" s="8">
        <v>18</v>
      </c>
      <c r="CC11" s="8">
        <v>5</v>
      </c>
      <c r="CD11" s="8">
        <v>0</v>
      </c>
      <c r="CE11" s="8">
        <v>79</v>
      </c>
      <c r="CF11" s="9">
        <v>4.0964308384058423</v>
      </c>
      <c r="CG11" s="9">
        <v>3.4495223208978327</v>
      </c>
      <c r="CH11" s="9">
        <v>3.2408379296294929</v>
      </c>
      <c r="CI11" s="9">
        <v>3.1696982778808618</v>
      </c>
      <c r="CJ11" s="9">
        <v>3.6073141449914825</v>
      </c>
      <c r="CK11" s="9">
        <v>5.3881482641840428</v>
      </c>
      <c r="CL11" s="9">
        <v>7.0480482240104463</v>
      </c>
      <c r="CM11" s="9">
        <v>3.7038098333582514</v>
      </c>
      <c r="CN11" s="9">
        <v>3.1345038186153262</v>
      </c>
      <c r="CO11" s="9">
        <v>2.84291523993158</v>
      </c>
      <c r="CP11" s="9">
        <v>2.8288763112553408</v>
      </c>
      <c r="CQ11" s="9">
        <v>3.7986976567052979</v>
      </c>
      <c r="CR11" s="9">
        <v>6.0956425257481444</v>
      </c>
      <c r="CS11" s="9">
        <v>7.5955546143860602</v>
      </c>
      <c r="CT11" s="9">
        <v>3.9919505721643835</v>
      </c>
      <c r="CU11" s="9">
        <v>3.204537592984205</v>
      </c>
      <c r="CV11" s="9">
        <v>2.8805490509463167</v>
      </c>
      <c r="CW11" s="9">
        <v>2.6887506286485814</v>
      </c>
      <c r="CX11" s="9">
        <v>3.2394338407846193</v>
      </c>
      <c r="CY11" s="9">
        <v>5.6508437648547885</v>
      </c>
      <c r="CZ11" s="9">
        <v>6.3439345496171065</v>
      </c>
      <c r="DA11" s="9">
        <v>3.5574697900326795</v>
      </c>
      <c r="DB11" s="9">
        <v>2.9496873939808115</v>
      </c>
      <c r="DC11" s="9">
        <v>2.7482526515971006</v>
      </c>
      <c r="DD11" s="9">
        <v>2.6050249320230674</v>
      </c>
      <c r="DE11" s="9">
        <v>3.3580746537370039</v>
      </c>
      <c r="DF11" s="9">
        <v>5.9909467885036047</v>
      </c>
      <c r="DG11" s="9">
        <v>6.7905437901257297</v>
      </c>
      <c r="DH11" s="9">
        <v>4.2862978690890117</v>
      </c>
      <c r="DI11" s="9">
        <v>3.7137021309109879</v>
      </c>
      <c r="DJ11" s="9"/>
      <c r="DK11" s="9">
        <v>30</v>
      </c>
      <c r="DL11" s="9">
        <v>30</v>
      </c>
      <c r="DM11" s="9">
        <v>28</v>
      </c>
      <c r="DN11" s="9">
        <v>28</v>
      </c>
      <c r="DO11" s="9">
        <v>8</v>
      </c>
      <c r="DP11" s="9"/>
      <c r="DQ11" s="9">
        <v>124</v>
      </c>
      <c r="DR11" s="8">
        <f>+SUM(Tabla2[[#This Row],[1 gral]:[1 gral]])</f>
        <v>4.0964308384058423</v>
      </c>
      <c r="DS11" s="8">
        <f>+SUM(Tabla2[[#This Row],[1 temm]:[1 temm]])</f>
        <v>2.6160522106475264</v>
      </c>
      <c r="DT11" s="8">
        <f>+SUM(Tabla2[[#This Row],[1 porta]:[1 porta]])</f>
        <v>0.24119600166211994</v>
      </c>
      <c r="DU11" s="8">
        <f>+Tabla2[[#This Row],[GRAL]]-(Tabla2[[#This Row],[TEMM14]]+Tabla2[[#This Row],[PORTA15]])</f>
        <v>1.2391826260961962</v>
      </c>
    </row>
    <row r="12" spans="1:125" hidden="1" x14ac:dyDescent="0.2">
      <c r="A12" s="84" t="s">
        <v>455</v>
      </c>
      <c r="B12" s="84" t="s">
        <v>483</v>
      </c>
      <c r="C12" s="11" t="s">
        <v>451</v>
      </c>
      <c r="D12" s="11">
        <v>2090176</v>
      </c>
      <c r="E12" s="11" t="s">
        <v>391</v>
      </c>
      <c r="F12" s="11" t="s">
        <v>460</v>
      </c>
      <c r="G12" s="43" t="s">
        <v>280</v>
      </c>
      <c r="H12" s="10">
        <v>0.12059800083105997</v>
      </c>
      <c r="I12" s="10">
        <v>0.16789847649467127</v>
      </c>
      <c r="J12" s="10">
        <v>0.1562207193579257</v>
      </c>
      <c r="K12" s="10">
        <v>0.15006952754027642</v>
      </c>
      <c r="L12" s="10">
        <v>0.16374086192033718</v>
      </c>
      <c r="M12" s="10">
        <v>0.14743099948912008</v>
      </c>
      <c r="N12" s="10">
        <v>9.4041414366609274E-2</v>
      </c>
      <c r="O12" s="10">
        <v>0.13456875821488182</v>
      </c>
      <c r="P12" s="10">
        <v>0.15707930258261715</v>
      </c>
      <c r="Q12" s="10">
        <v>0.1366666184667969</v>
      </c>
      <c r="R12" s="10">
        <v>0.15251213813195408</v>
      </c>
      <c r="S12" s="10">
        <v>0.16144595225895933</v>
      </c>
      <c r="T12" s="10">
        <v>0.17017767644203829</v>
      </c>
      <c r="U12" s="10">
        <v>8.7549553902752458E-2</v>
      </c>
      <c r="V12" s="10">
        <v>0.13996353763244257</v>
      </c>
      <c r="W12" s="10">
        <v>0.16408049301484401</v>
      </c>
      <c r="X12" s="10">
        <v>0.14972686275640418</v>
      </c>
      <c r="Y12" s="10">
        <v>0.1463085242518728</v>
      </c>
      <c r="Z12" s="10">
        <v>0.15374768661164634</v>
      </c>
      <c r="AA12" s="10">
        <v>0.16100337430944414</v>
      </c>
      <c r="AB12" s="10">
        <v>8.5169521423346065E-2</v>
      </c>
      <c r="AC12" s="10">
        <v>0.14462106218700971</v>
      </c>
      <c r="AD12" s="10">
        <v>0.15927880292158872</v>
      </c>
      <c r="AE12" s="10">
        <v>0.15323481470929368</v>
      </c>
      <c r="AF12" s="10">
        <v>0.13729451948603222</v>
      </c>
      <c r="AG12" s="10">
        <v>0.15608969598895889</v>
      </c>
      <c r="AH12" s="10">
        <v>0.163037646001296</v>
      </c>
      <c r="AI12" s="10">
        <v>8.6443458705820736E-2</v>
      </c>
      <c r="AJ12" s="10">
        <v>0.98121347329160713</v>
      </c>
      <c r="AK12" s="10">
        <v>1.0187865267083926</v>
      </c>
      <c r="AL12" s="10">
        <v>0</v>
      </c>
      <c r="AM12" s="6">
        <v>1</v>
      </c>
      <c r="AN12" s="8">
        <v>1</v>
      </c>
      <c r="AO12" s="8">
        <v>1</v>
      </c>
      <c r="AP12" s="8">
        <v>1</v>
      </c>
      <c r="AQ12" s="8">
        <v>2</v>
      </c>
      <c r="AR12" s="8">
        <v>0</v>
      </c>
      <c r="AS12" s="64">
        <v>6</v>
      </c>
      <c r="AT12" s="8">
        <v>3.8552348367437226</v>
      </c>
      <c r="AU12" s="8">
        <v>3.1137253679084904</v>
      </c>
      <c r="AV12" s="8">
        <v>2.9283964909136411</v>
      </c>
      <c r="AW12" s="8">
        <v>2.8695592228003095</v>
      </c>
      <c r="AX12" s="8">
        <v>3.2798324211508079</v>
      </c>
      <c r="AY12" s="8">
        <v>5.0932862652058031</v>
      </c>
      <c r="AZ12" s="8">
        <v>6.8599653952772277</v>
      </c>
      <c r="BA12" s="8">
        <v>3.4346723169284878</v>
      </c>
      <c r="BB12" s="8">
        <v>2.8203452134500919</v>
      </c>
      <c r="BC12" s="8">
        <v>2.5695820029979863</v>
      </c>
      <c r="BD12" s="8">
        <v>2.5238520349914326</v>
      </c>
      <c r="BE12" s="8">
        <v>3.4758057521873797</v>
      </c>
      <c r="BF12" s="8">
        <v>5.755287172864068</v>
      </c>
      <c r="BG12" s="8">
        <v>7.4204555065805549</v>
      </c>
      <c r="BH12" s="8">
        <v>3.7120234968994983</v>
      </c>
      <c r="BI12" s="8">
        <v>2.8763766069545169</v>
      </c>
      <c r="BJ12" s="8">
        <v>2.5810953254335085</v>
      </c>
      <c r="BK12" s="8">
        <v>2.396133580144836</v>
      </c>
      <c r="BL12" s="8">
        <v>2.9319384675613267</v>
      </c>
      <c r="BM12" s="8">
        <v>5.3288370162358998</v>
      </c>
      <c r="BN12" s="8">
        <v>6.1735955067704156</v>
      </c>
      <c r="BO12" s="8">
        <v>3.2682276656586606</v>
      </c>
      <c r="BP12" s="8">
        <v>2.6311297881376339</v>
      </c>
      <c r="BQ12" s="8">
        <v>2.4417830221785133</v>
      </c>
      <c r="BR12" s="8">
        <v>2.330435893051003</v>
      </c>
      <c r="BS12" s="8">
        <v>3.0458952617590862</v>
      </c>
      <c r="BT12" s="8">
        <v>5.6648714965010116</v>
      </c>
      <c r="BU12" s="8">
        <v>6.6176568727140879</v>
      </c>
      <c r="BV12" s="8">
        <v>3.3050843957974045</v>
      </c>
      <c r="BW12" s="8">
        <v>2.6949156042025955</v>
      </c>
      <c r="BX12" s="8">
        <v>0</v>
      </c>
      <c r="BY12" s="8">
        <v>28</v>
      </c>
      <c r="BZ12" s="8">
        <v>28</v>
      </c>
      <c r="CA12" s="8">
        <v>26</v>
      </c>
      <c r="CB12" s="8">
        <v>26</v>
      </c>
      <c r="CC12" s="8">
        <v>6</v>
      </c>
      <c r="CD12" s="8">
        <v>0</v>
      </c>
      <c r="CE12" s="8">
        <v>114</v>
      </c>
      <c r="CF12" s="9">
        <v>4.8019545883055805</v>
      </c>
      <c r="CG12" s="9">
        <v>3.9488507089549811</v>
      </c>
      <c r="CH12" s="9">
        <v>3.7121307440387756</v>
      </c>
      <c r="CI12" s="9">
        <v>3.6345342980835094</v>
      </c>
      <c r="CJ12" s="9">
        <v>4.1463945161748894</v>
      </c>
      <c r="CK12" s="9">
        <v>6.3321357500961666</v>
      </c>
      <c r="CL12" s="9">
        <v>8.4239993943461009</v>
      </c>
      <c r="CM12" s="9">
        <v>4.30524228591376</v>
      </c>
      <c r="CN12" s="9">
        <v>3.5817842046291575</v>
      </c>
      <c r="CO12" s="9">
        <v>3.256873336392923</v>
      </c>
      <c r="CP12" s="9">
        <v>3.2171896091929795</v>
      </c>
      <c r="CQ12" s="9">
        <v>4.3820672227722062</v>
      </c>
      <c r="CR12" s="9">
        <v>7.1587406720626916</v>
      </c>
      <c r="CS12" s="9">
        <v>9.0981026690362832</v>
      </c>
      <c r="CT12" s="9">
        <v>4.7086078415087478</v>
      </c>
      <c r="CU12" s="9">
        <v>3.7042363169588648</v>
      </c>
      <c r="CV12" s="9">
        <v>3.3264595709822609</v>
      </c>
      <c r="CW12" s="9">
        <v>3.0953960075070555</v>
      </c>
      <c r="CX12" s="9">
        <v>3.7622873389948177</v>
      </c>
      <c r="CY12" s="9">
        <v>6.7195720096767051</v>
      </c>
      <c r="CZ12" s="9">
        <v>7.6834409143715501</v>
      </c>
      <c r="DA12" s="9">
        <v>4.1670551122284376</v>
      </c>
      <c r="DB12" s="9">
        <v>3.3975923883217538</v>
      </c>
      <c r="DC12" s="9">
        <v>3.1585062266213102</v>
      </c>
      <c r="DD12" s="9">
        <v>3.0055233109334205</v>
      </c>
      <c r="DE12" s="9">
        <v>3.9048838643078345</v>
      </c>
      <c r="DF12" s="9">
        <v>7.1351871801563878</v>
      </c>
      <c r="DG12" s="9">
        <v>8.2312519174308516</v>
      </c>
      <c r="DH12" s="9">
        <v>4.8371452683885794</v>
      </c>
      <c r="DI12" s="9">
        <v>4.1628547316114206</v>
      </c>
      <c r="DJ12" s="9"/>
      <c r="DK12" s="9">
        <v>35</v>
      </c>
      <c r="DL12" s="9">
        <v>35</v>
      </c>
      <c r="DM12" s="9">
        <v>33</v>
      </c>
      <c r="DN12" s="9">
        <v>33</v>
      </c>
      <c r="DO12" s="9">
        <v>9</v>
      </c>
      <c r="DP12" s="9"/>
      <c r="DQ12" s="9">
        <v>145</v>
      </c>
      <c r="DR12" s="8">
        <f>+SUM(Tabla2[[#This Row],[1 gral]:[1 gral]])</f>
        <v>4.8019545883055805</v>
      </c>
      <c r="DS12" s="8">
        <f>+SUM(Tabla2[[#This Row],[1 temm]:[1 temm]])</f>
        <v>3.8552348367437226</v>
      </c>
      <c r="DT12" s="8">
        <f>+SUM(Tabla2[[#This Row],[1 porta]:[1 porta]])</f>
        <v>0.12059800083105997</v>
      </c>
      <c r="DU12" s="8">
        <f>+Tabla2[[#This Row],[GRAL]]-(Tabla2[[#This Row],[TEMM14]]+Tabla2[[#This Row],[PORTA15]])</f>
        <v>0.82612175073079808</v>
      </c>
    </row>
    <row r="13" spans="1:125" hidden="1" x14ac:dyDescent="0.2">
      <c r="A13" s="84" t="s">
        <v>455</v>
      </c>
      <c r="B13" s="84" t="s">
        <v>483</v>
      </c>
      <c r="C13" s="11" t="s">
        <v>452</v>
      </c>
      <c r="D13" s="11">
        <v>2090552</v>
      </c>
      <c r="E13" s="11" t="s">
        <v>392</v>
      </c>
      <c r="F13" s="11" t="s">
        <v>459</v>
      </c>
      <c r="G13" s="43" t="s">
        <v>282</v>
      </c>
      <c r="H13" s="10">
        <v>0.12059800083105997</v>
      </c>
      <c r="I13" s="10">
        <v>0.16789847649467127</v>
      </c>
      <c r="J13" s="10">
        <v>0.1562207193579257</v>
      </c>
      <c r="K13" s="10">
        <v>0.15006952754027642</v>
      </c>
      <c r="L13" s="10">
        <v>0.16374086192033718</v>
      </c>
      <c r="M13" s="10">
        <v>0.14743099948912008</v>
      </c>
      <c r="N13" s="10">
        <v>9.4041414366609274E-2</v>
      </c>
      <c r="O13" s="10">
        <v>0.13456875821488182</v>
      </c>
      <c r="P13" s="10">
        <v>0.15707930258261715</v>
      </c>
      <c r="Q13" s="10">
        <v>0.1366666184667969</v>
      </c>
      <c r="R13" s="10">
        <v>0.15251213813195408</v>
      </c>
      <c r="S13" s="10">
        <v>0.16144595225895933</v>
      </c>
      <c r="T13" s="10">
        <v>0.17017767644203829</v>
      </c>
      <c r="U13" s="10">
        <v>8.7549553902752458E-2</v>
      </c>
      <c r="V13" s="10">
        <v>0.13996353763244257</v>
      </c>
      <c r="W13" s="10">
        <v>0.16408049301484401</v>
      </c>
      <c r="X13" s="10">
        <v>0.14972686275640418</v>
      </c>
      <c r="Y13" s="10">
        <v>0.1463085242518728</v>
      </c>
      <c r="Z13" s="10">
        <v>0.15374768661164634</v>
      </c>
      <c r="AA13" s="10">
        <v>0.16100337430944414</v>
      </c>
      <c r="AB13" s="10">
        <v>8.5169521423346065E-2</v>
      </c>
      <c r="AC13" s="10">
        <v>0.14462106218700971</v>
      </c>
      <c r="AD13" s="10">
        <v>0.15927880292158872</v>
      </c>
      <c r="AE13" s="10">
        <v>0.15323481470929368</v>
      </c>
      <c r="AF13" s="10">
        <v>0.13729451948603222</v>
      </c>
      <c r="AG13" s="10">
        <v>0.15608969598895889</v>
      </c>
      <c r="AH13" s="10">
        <v>0.163037646001296</v>
      </c>
      <c r="AI13" s="10">
        <v>8.6443458705820736E-2</v>
      </c>
      <c r="AJ13" s="10">
        <v>0.49060673664580357</v>
      </c>
      <c r="AK13" s="10">
        <v>0.50939326335419632</v>
      </c>
      <c r="AL13" s="10">
        <v>0</v>
      </c>
      <c r="AM13" s="6">
        <v>1</v>
      </c>
      <c r="AN13" s="8">
        <v>1</v>
      </c>
      <c r="AO13" s="8">
        <v>1</v>
      </c>
      <c r="AP13" s="8">
        <v>1</v>
      </c>
      <c r="AQ13" s="8">
        <v>1</v>
      </c>
      <c r="AR13" s="8">
        <v>0</v>
      </c>
      <c r="AS13" s="64">
        <v>5</v>
      </c>
      <c r="AT13" s="8">
        <v>1.3768695845513297</v>
      </c>
      <c r="AU13" s="8">
        <v>1.1120447742530324</v>
      </c>
      <c r="AV13" s="8">
        <v>1.0458558896120147</v>
      </c>
      <c r="AW13" s="8">
        <v>1.024842579571539</v>
      </c>
      <c r="AX13" s="8">
        <v>1.1713687218395743</v>
      </c>
      <c r="AY13" s="8">
        <v>1.8190308090020724</v>
      </c>
      <c r="AZ13" s="8">
        <v>2.4499876411704387</v>
      </c>
      <c r="BA13" s="8">
        <v>1.2266686846173172</v>
      </c>
      <c r="BB13" s="8">
        <v>1.0072661476607472</v>
      </c>
      <c r="BC13" s="8">
        <v>0.9177078582135666</v>
      </c>
      <c r="BD13" s="8">
        <v>0.90137572678265443</v>
      </c>
      <c r="BE13" s="8">
        <v>1.2413591972097784</v>
      </c>
      <c r="BF13" s="8">
        <v>2.0554597045943099</v>
      </c>
      <c r="BG13" s="8">
        <v>2.6501626809216265</v>
      </c>
      <c r="BH13" s="8">
        <v>1.2849312104652109</v>
      </c>
      <c r="BI13" s="8">
        <v>0.99566882548425584</v>
      </c>
      <c r="BJ13" s="8">
        <v>0.89345607418852213</v>
      </c>
      <c r="BK13" s="8">
        <v>0.82943085466552013</v>
      </c>
      <c r="BL13" s="8">
        <v>1.0149017772327669</v>
      </c>
      <c r="BM13" s="8">
        <v>1.8445974286970421</v>
      </c>
      <c r="BN13" s="8">
        <v>2.137013829266682</v>
      </c>
      <c r="BO13" s="8">
        <v>1.1313095765741517</v>
      </c>
      <c r="BP13" s="8">
        <v>0.91077569589379626</v>
      </c>
      <c r="BQ13" s="8">
        <v>0.84523258460025452</v>
      </c>
      <c r="BR13" s="8">
        <v>0.806689347594578</v>
      </c>
      <c r="BS13" s="8">
        <v>1.0543483598396837</v>
      </c>
      <c r="BT13" s="8">
        <v>1.9609170564811196</v>
      </c>
      <c r="BU13" s="8">
        <v>2.2907273790164151</v>
      </c>
      <c r="BV13" s="8">
        <v>0.55084739929956739</v>
      </c>
      <c r="BW13" s="8">
        <v>0.44915260070043256</v>
      </c>
      <c r="BX13" s="8">
        <v>0</v>
      </c>
      <c r="BY13" s="8">
        <v>10</v>
      </c>
      <c r="BZ13" s="8">
        <v>10</v>
      </c>
      <c r="CA13" s="8">
        <v>9</v>
      </c>
      <c r="CB13" s="8">
        <v>9</v>
      </c>
      <c r="CC13" s="8">
        <v>1</v>
      </c>
      <c r="CD13" s="8">
        <v>0</v>
      </c>
      <c r="CE13" s="8">
        <v>39</v>
      </c>
      <c r="CF13" s="9">
        <v>1.7728415022926556</v>
      </c>
      <c r="CG13" s="9">
        <v>1.5023522055983103</v>
      </c>
      <c r="CH13" s="9">
        <v>1.4112477868923434</v>
      </c>
      <c r="CI13" s="9">
        <v>1.3798806230261231</v>
      </c>
      <c r="CJ13" s="9">
        <v>1.5693833281278262</v>
      </c>
      <c r="CK13" s="9">
        <v>2.3302679702916071</v>
      </c>
      <c r="CL13" s="9">
        <v>3.0340265837711358</v>
      </c>
      <c r="CM13" s="9">
        <v>1.6065711797556623</v>
      </c>
      <c r="CN13" s="9">
        <v>1.3657986797755137</v>
      </c>
      <c r="CO13" s="9">
        <v>1.2379160483230769</v>
      </c>
      <c r="CP13" s="9">
        <v>1.2341630102711392</v>
      </c>
      <c r="CQ13" s="9">
        <v>1.6510769889106933</v>
      </c>
      <c r="CR13" s="9">
        <v>2.6367293219552099</v>
      </c>
      <c r="CS13" s="9">
        <v>3.2677447710087044</v>
      </c>
      <c r="CT13" s="9">
        <v>1.7104350170899225</v>
      </c>
      <c r="CU13" s="9">
        <v>1.3810090574956013</v>
      </c>
      <c r="CV13" s="9">
        <v>1.2417287312090424</v>
      </c>
      <c r="CW13" s="9">
        <v>1.1600573466208419</v>
      </c>
      <c r="CX13" s="9">
        <v>1.3941831921183614</v>
      </c>
      <c r="CY13" s="9">
        <v>2.4155113427169401</v>
      </c>
      <c r="CZ13" s="9">
        <v>2.6970753127492908</v>
      </c>
      <c r="DA13" s="9">
        <v>1.5273327668887506</v>
      </c>
      <c r="DB13" s="9">
        <v>1.2724490979028953</v>
      </c>
      <c r="DC13" s="9">
        <v>1.1862968625540491</v>
      </c>
      <c r="DD13" s="9">
        <v>1.1232481665460721</v>
      </c>
      <c r="DE13" s="9">
        <v>1.4447376913485721</v>
      </c>
      <c r="DF13" s="9">
        <v>2.559714048367109</v>
      </c>
      <c r="DG13" s="9">
        <v>2.8862213663925504</v>
      </c>
      <c r="DH13" s="9">
        <v>1.5923015352449381</v>
      </c>
      <c r="DI13" s="9">
        <v>1.4076984647550614</v>
      </c>
      <c r="DJ13" s="9"/>
      <c r="DK13" s="9">
        <v>13</v>
      </c>
      <c r="DL13" s="9">
        <v>13</v>
      </c>
      <c r="DM13" s="9">
        <v>12</v>
      </c>
      <c r="DN13" s="9">
        <v>12</v>
      </c>
      <c r="DO13" s="9">
        <v>3</v>
      </c>
      <c r="DP13" s="9"/>
      <c r="DQ13" s="9">
        <v>53</v>
      </c>
      <c r="DR13" s="8">
        <f>+SUM(Tabla2[[#This Row],[1 gral]:[1 gral]])</f>
        <v>1.7728415022926556</v>
      </c>
      <c r="DS13" s="8">
        <f>+SUM(Tabla2[[#This Row],[1 temm]:[1 temm]])</f>
        <v>1.3768695845513297</v>
      </c>
      <c r="DT13" s="8">
        <f>+SUM(Tabla2[[#This Row],[1 porta]:[1 porta]])</f>
        <v>0.12059800083105997</v>
      </c>
      <c r="DU13" s="8">
        <f>+Tabla2[[#This Row],[GRAL]]-(Tabla2[[#This Row],[TEMM14]]+Tabla2[[#This Row],[PORTA15]])</f>
        <v>0.27537391691026603</v>
      </c>
    </row>
    <row r="14" spans="1:125" hidden="1" x14ac:dyDescent="0.2">
      <c r="A14" s="84" t="s">
        <v>455</v>
      </c>
      <c r="B14" s="84" t="s">
        <v>483</v>
      </c>
      <c r="C14" s="11" t="s">
        <v>451</v>
      </c>
      <c r="D14" s="11">
        <v>2090559</v>
      </c>
      <c r="E14" s="11" t="s">
        <v>393</v>
      </c>
      <c r="F14" s="11" t="s">
        <v>460</v>
      </c>
      <c r="G14" s="43" t="s">
        <v>282</v>
      </c>
      <c r="H14" s="10">
        <v>0.12059800083105997</v>
      </c>
      <c r="I14" s="10">
        <v>0.16789847649467127</v>
      </c>
      <c r="J14" s="10">
        <v>0.1562207193579257</v>
      </c>
      <c r="K14" s="10">
        <v>0.15006952754027642</v>
      </c>
      <c r="L14" s="10">
        <v>0.16374086192033718</v>
      </c>
      <c r="M14" s="10">
        <v>0.14743099948912008</v>
      </c>
      <c r="N14" s="10">
        <v>9.4041414366609274E-2</v>
      </c>
      <c r="O14" s="10">
        <v>0.13456875821488182</v>
      </c>
      <c r="P14" s="10">
        <v>0.15707930258261715</v>
      </c>
      <c r="Q14" s="10">
        <v>0.1366666184667969</v>
      </c>
      <c r="R14" s="10">
        <v>0.15251213813195408</v>
      </c>
      <c r="S14" s="10">
        <v>0.16144595225895933</v>
      </c>
      <c r="T14" s="10">
        <v>0.17017767644203829</v>
      </c>
      <c r="U14" s="10">
        <v>8.7549553902752458E-2</v>
      </c>
      <c r="V14" s="10">
        <v>0.13996353763244257</v>
      </c>
      <c r="W14" s="10">
        <v>0.16408049301484401</v>
      </c>
      <c r="X14" s="10">
        <v>0.14972686275640418</v>
      </c>
      <c r="Y14" s="10">
        <v>0.1463085242518728</v>
      </c>
      <c r="Z14" s="10">
        <v>0.15374768661164634</v>
      </c>
      <c r="AA14" s="10">
        <v>0.16100337430944414</v>
      </c>
      <c r="AB14" s="10">
        <v>8.5169521423346065E-2</v>
      </c>
      <c r="AC14" s="10">
        <v>0.14462106218700971</v>
      </c>
      <c r="AD14" s="10">
        <v>0.15927880292158872</v>
      </c>
      <c r="AE14" s="10">
        <v>0.15323481470929368</v>
      </c>
      <c r="AF14" s="10">
        <v>0.13729451948603222</v>
      </c>
      <c r="AG14" s="10">
        <v>0.15608969598895889</v>
      </c>
      <c r="AH14" s="10">
        <v>0.163037646001296</v>
      </c>
      <c r="AI14" s="10">
        <v>8.6443458705820736E-2</v>
      </c>
      <c r="AJ14" s="10">
        <v>0</v>
      </c>
      <c r="AK14" s="10">
        <v>0</v>
      </c>
      <c r="AL14" s="10">
        <v>0</v>
      </c>
      <c r="AM14" s="6">
        <v>1</v>
      </c>
      <c r="AN14" s="8">
        <v>1</v>
      </c>
      <c r="AO14" s="8">
        <v>1</v>
      </c>
      <c r="AP14" s="8">
        <v>1</v>
      </c>
      <c r="AQ14" s="8">
        <v>0</v>
      </c>
      <c r="AR14" s="8">
        <v>0</v>
      </c>
      <c r="AS14" s="64">
        <v>4</v>
      </c>
      <c r="AT14" s="8">
        <v>1.1014956676410637</v>
      </c>
      <c r="AU14" s="8">
        <v>0.88963581940242586</v>
      </c>
      <c r="AV14" s="8">
        <v>0.83668471168961178</v>
      </c>
      <c r="AW14" s="8">
        <v>0.81987406365723126</v>
      </c>
      <c r="AX14" s="8">
        <v>0.93709497747165937</v>
      </c>
      <c r="AY14" s="8">
        <v>1.4552246472016579</v>
      </c>
      <c r="AZ14" s="8">
        <v>1.9599901129363508</v>
      </c>
      <c r="BA14" s="8">
        <v>0.98133494769385365</v>
      </c>
      <c r="BB14" s="8">
        <v>0.80581291812859768</v>
      </c>
      <c r="BC14" s="8">
        <v>0.73416628657085325</v>
      </c>
      <c r="BD14" s="8">
        <v>0.72110058142612354</v>
      </c>
      <c r="BE14" s="8">
        <v>0.99308735776782275</v>
      </c>
      <c r="BF14" s="8">
        <v>1.6443677636754479</v>
      </c>
      <c r="BG14" s="8">
        <v>2.1201301447373013</v>
      </c>
      <c r="BH14" s="8">
        <v>0.99939094147294183</v>
      </c>
      <c r="BI14" s="8">
        <v>0.77440908648775464</v>
      </c>
      <c r="BJ14" s="8">
        <v>0.69491027992440613</v>
      </c>
      <c r="BK14" s="8">
        <v>0.64511288696207114</v>
      </c>
      <c r="BL14" s="8">
        <v>0.78936804895881874</v>
      </c>
      <c r="BM14" s="8">
        <v>1.4346868889865885</v>
      </c>
      <c r="BN14" s="8">
        <v>1.6621218672074194</v>
      </c>
      <c r="BO14" s="8">
        <v>0.87990744844656243</v>
      </c>
      <c r="BP14" s="8">
        <v>0.70838109680628603</v>
      </c>
      <c r="BQ14" s="8">
        <v>0.65740312135575352</v>
      </c>
      <c r="BR14" s="8">
        <v>0.62742504812911615</v>
      </c>
      <c r="BS14" s="8">
        <v>0.82004872431975406</v>
      </c>
      <c r="BT14" s="8">
        <v>1.5251577105964262</v>
      </c>
      <c r="BU14" s="8">
        <v>1.7816768503461005</v>
      </c>
      <c r="BV14" s="8">
        <v>0.55084739929956739</v>
      </c>
      <c r="BW14" s="8">
        <v>0.44915260070043256</v>
      </c>
      <c r="BX14" s="8">
        <v>0</v>
      </c>
      <c r="BY14" s="8">
        <v>8</v>
      </c>
      <c r="BZ14" s="8">
        <v>8</v>
      </c>
      <c r="CA14" s="8">
        <v>7</v>
      </c>
      <c r="CB14" s="8">
        <v>7</v>
      </c>
      <c r="CC14" s="8">
        <v>1</v>
      </c>
      <c r="CD14" s="8">
        <v>0</v>
      </c>
      <c r="CE14" s="8">
        <v>31</v>
      </c>
      <c r="CF14" s="9">
        <v>1.9105284607477884</v>
      </c>
      <c r="CG14" s="9">
        <v>1.6135566830236132</v>
      </c>
      <c r="CH14" s="9">
        <v>1.5158333758535449</v>
      </c>
      <c r="CI14" s="9">
        <v>1.482364880983277</v>
      </c>
      <c r="CJ14" s="9">
        <v>1.6865202003117838</v>
      </c>
      <c r="CK14" s="9">
        <v>2.5121710511918143</v>
      </c>
      <c r="CL14" s="9">
        <v>3.2790253478881795</v>
      </c>
      <c r="CM14" s="9">
        <v>1.7292380482173941</v>
      </c>
      <c r="CN14" s="9">
        <v>1.4665252945415883</v>
      </c>
      <c r="CO14" s="9">
        <v>1.3296868341444334</v>
      </c>
      <c r="CP14" s="9">
        <v>1.3243005829494048</v>
      </c>
      <c r="CQ14" s="9">
        <v>1.7752129086316712</v>
      </c>
      <c r="CR14" s="9">
        <v>2.8422752924146413</v>
      </c>
      <c r="CS14" s="9">
        <v>3.5327610391008673</v>
      </c>
      <c r="CT14" s="9">
        <v>1.7104350170899227</v>
      </c>
      <c r="CU14" s="9">
        <v>1.3810090574956013</v>
      </c>
      <c r="CV14" s="9">
        <v>1.2417287312090424</v>
      </c>
      <c r="CW14" s="9">
        <v>1.1600573466208417</v>
      </c>
      <c r="CX14" s="9">
        <v>1.3941831921183616</v>
      </c>
      <c r="CY14" s="9">
        <v>2.4155113427169401</v>
      </c>
      <c r="CZ14" s="9">
        <v>2.6970753127492908</v>
      </c>
      <c r="DA14" s="9">
        <v>1.5273327668887506</v>
      </c>
      <c r="DB14" s="9">
        <v>1.2724490979028953</v>
      </c>
      <c r="DC14" s="9">
        <v>1.1862968625540491</v>
      </c>
      <c r="DD14" s="9">
        <v>1.1232481665460718</v>
      </c>
      <c r="DE14" s="9">
        <v>1.4447376913485723</v>
      </c>
      <c r="DF14" s="9">
        <v>2.559714048367109</v>
      </c>
      <c r="DG14" s="9">
        <v>2.88622136639255</v>
      </c>
      <c r="DH14" s="9">
        <v>1.1016947985991348</v>
      </c>
      <c r="DI14" s="9">
        <v>0.89830520140086512</v>
      </c>
      <c r="DJ14" s="9"/>
      <c r="DK14" s="9">
        <v>14</v>
      </c>
      <c r="DL14" s="9">
        <v>14</v>
      </c>
      <c r="DM14" s="9">
        <v>12</v>
      </c>
      <c r="DN14" s="9">
        <v>12</v>
      </c>
      <c r="DO14" s="9">
        <v>2</v>
      </c>
      <c r="DP14" s="9"/>
      <c r="DQ14" s="9">
        <v>54</v>
      </c>
      <c r="DR14" s="8">
        <f>+SUM(Tabla2[[#This Row],[1 gral]:[1 gral]])</f>
        <v>1.9105284607477884</v>
      </c>
      <c r="DS14" s="8">
        <f>+SUM(Tabla2[[#This Row],[1 temm]:[1 temm]])</f>
        <v>1.1014956676410637</v>
      </c>
      <c r="DT14" s="8">
        <f>+SUM(Tabla2[[#This Row],[1 porta]:[1 porta]])</f>
        <v>0.12059800083105997</v>
      </c>
      <c r="DU14" s="8">
        <f>+Tabla2[[#This Row],[GRAL]]-(Tabla2[[#This Row],[TEMM14]]+Tabla2[[#This Row],[PORTA15]])</f>
        <v>0.68843479227566484</v>
      </c>
    </row>
    <row r="15" spans="1:125" x14ac:dyDescent="0.2">
      <c r="A15" s="84" t="s">
        <v>99</v>
      </c>
      <c r="B15" s="84" t="s">
        <v>482</v>
      </c>
      <c r="C15" s="11" t="s">
        <v>126</v>
      </c>
      <c r="D15" s="11">
        <v>2090618</v>
      </c>
      <c r="E15" s="11" t="s">
        <v>20</v>
      </c>
      <c r="F15" s="11" t="s">
        <v>307</v>
      </c>
      <c r="G15" s="43" t="s">
        <v>280</v>
      </c>
      <c r="H15" s="10">
        <v>0.12059800083105997</v>
      </c>
      <c r="I15" s="10">
        <v>0.16789847649467127</v>
      </c>
      <c r="J15" s="10">
        <v>0.1562207193579257</v>
      </c>
      <c r="K15" s="10">
        <v>0.15006952754027642</v>
      </c>
      <c r="L15" s="10">
        <v>0.16374086192033718</v>
      </c>
      <c r="M15" s="10">
        <v>0.14743099948912008</v>
      </c>
      <c r="N15" s="10">
        <v>9.4041414366609274E-2</v>
      </c>
      <c r="O15" s="10">
        <v>0.13456875821488182</v>
      </c>
      <c r="P15" s="10">
        <v>0.15707930258261715</v>
      </c>
      <c r="Q15" s="10">
        <v>0.1366666184667969</v>
      </c>
      <c r="R15" s="10">
        <v>0.15251213813195408</v>
      </c>
      <c r="S15" s="10">
        <v>0.16144595225895933</v>
      </c>
      <c r="T15" s="10">
        <v>0.17017767644203829</v>
      </c>
      <c r="U15" s="10">
        <v>8.7549553902752458E-2</v>
      </c>
      <c r="V15" s="10">
        <v>0.13996353763244257</v>
      </c>
      <c r="W15" s="10">
        <v>0.16408049301484401</v>
      </c>
      <c r="X15" s="10">
        <v>0.14972686275640418</v>
      </c>
      <c r="Y15" s="10">
        <v>0.1463085242518728</v>
      </c>
      <c r="Z15" s="10">
        <v>0.15374768661164634</v>
      </c>
      <c r="AA15" s="10">
        <v>0.16100337430944414</v>
      </c>
      <c r="AB15" s="10">
        <v>8.5169521423346065E-2</v>
      </c>
      <c r="AC15" s="10">
        <v>0.14462106218700971</v>
      </c>
      <c r="AD15" s="10">
        <v>0.15927880292158872</v>
      </c>
      <c r="AE15" s="10">
        <v>0.15323481470929368</v>
      </c>
      <c r="AF15" s="10">
        <v>0.13729451948603222</v>
      </c>
      <c r="AG15" s="10">
        <v>0.15608969598895889</v>
      </c>
      <c r="AH15" s="10">
        <v>0.163037646001296</v>
      </c>
      <c r="AI15" s="10">
        <v>8.6443458705820736E-2</v>
      </c>
      <c r="AJ15" s="10">
        <v>0.49060673664580357</v>
      </c>
      <c r="AK15" s="10">
        <v>0.50939326335419632</v>
      </c>
      <c r="AL15" s="10">
        <v>0</v>
      </c>
      <c r="AM15" s="6">
        <v>1</v>
      </c>
      <c r="AN15" s="8">
        <v>1</v>
      </c>
      <c r="AO15" s="8">
        <v>1</v>
      </c>
      <c r="AP15" s="8">
        <v>1</v>
      </c>
      <c r="AQ15" s="8">
        <v>1</v>
      </c>
      <c r="AR15" s="8">
        <v>0</v>
      </c>
      <c r="AS15" s="87">
        <v>5</v>
      </c>
      <c r="AT15" s="8">
        <v>1.1014956676410637</v>
      </c>
      <c r="AU15" s="8">
        <v>0.88963581940242586</v>
      </c>
      <c r="AV15" s="8">
        <v>0.83668471168961178</v>
      </c>
      <c r="AW15" s="8">
        <v>0.81987406365723126</v>
      </c>
      <c r="AX15" s="8">
        <v>0.93709497747165937</v>
      </c>
      <c r="AY15" s="8">
        <v>1.4552246472016579</v>
      </c>
      <c r="AZ15" s="8">
        <v>1.9599901129363508</v>
      </c>
      <c r="BA15" s="8">
        <v>0.98133494769385365</v>
      </c>
      <c r="BB15" s="8">
        <v>0.80581291812859768</v>
      </c>
      <c r="BC15" s="8">
        <v>0.73416628657085325</v>
      </c>
      <c r="BD15" s="8">
        <v>0.72110058142612354</v>
      </c>
      <c r="BE15" s="8">
        <v>0.99308735776782275</v>
      </c>
      <c r="BF15" s="8">
        <v>1.6443677636754479</v>
      </c>
      <c r="BG15" s="8">
        <v>2.1201301447373013</v>
      </c>
      <c r="BH15" s="8">
        <v>0.99939094147294183</v>
      </c>
      <c r="BI15" s="8">
        <v>0.77440908648775464</v>
      </c>
      <c r="BJ15" s="8">
        <v>0.69491027992440613</v>
      </c>
      <c r="BK15" s="8">
        <v>0.64511288696207114</v>
      </c>
      <c r="BL15" s="8">
        <v>0.78936804895881874</v>
      </c>
      <c r="BM15" s="8">
        <v>1.4346868889865885</v>
      </c>
      <c r="BN15" s="8">
        <v>1.6621218672074194</v>
      </c>
      <c r="BO15" s="8">
        <v>0.87990744844656243</v>
      </c>
      <c r="BP15" s="8">
        <v>0.70838109680628603</v>
      </c>
      <c r="BQ15" s="8">
        <v>0.65740312135575352</v>
      </c>
      <c r="BR15" s="8">
        <v>0.62742504812911615</v>
      </c>
      <c r="BS15" s="8">
        <v>0.82004872431975406</v>
      </c>
      <c r="BT15" s="8">
        <v>1.5251577105964262</v>
      </c>
      <c r="BU15" s="8">
        <v>1.7816768503461005</v>
      </c>
      <c r="BV15" s="8">
        <v>1.1016947985991348</v>
      </c>
      <c r="BW15" s="8">
        <v>0.89830520140086512</v>
      </c>
      <c r="BX15" s="8">
        <v>0</v>
      </c>
      <c r="BY15" s="8">
        <v>8</v>
      </c>
      <c r="BZ15" s="8">
        <v>8</v>
      </c>
      <c r="CA15" s="8">
        <v>7</v>
      </c>
      <c r="CB15" s="8">
        <v>7</v>
      </c>
      <c r="CC15" s="8">
        <v>2</v>
      </c>
      <c r="CD15" s="8">
        <v>0</v>
      </c>
      <c r="CE15" s="8">
        <v>32</v>
      </c>
      <c r="CF15" s="9">
        <v>2.3235893361131872</v>
      </c>
      <c r="CG15" s="9">
        <v>1.9471701152995229</v>
      </c>
      <c r="CH15" s="9">
        <v>1.8295901427371493</v>
      </c>
      <c r="CI15" s="9">
        <v>1.7898176548547389</v>
      </c>
      <c r="CJ15" s="9">
        <v>2.0379308168636561</v>
      </c>
      <c r="CK15" s="9">
        <v>3.0578802938924357</v>
      </c>
      <c r="CL15" s="9">
        <v>4.014021640239311</v>
      </c>
      <c r="CM15" s="9">
        <v>2.0972386536025893</v>
      </c>
      <c r="CN15" s="9">
        <v>1.7687051388398125</v>
      </c>
      <c r="CO15" s="9">
        <v>1.6049991916085036</v>
      </c>
      <c r="CP15" s="9">
        <v>1.5947133009842012</v>
      </c>
      <c r="CQ15" s="9">
        <v>2.1476206677946048</v>
      </c>
      <c r="CR15" s="9">
        <v>3.4589132037929344</v>
      </c>
      <c r="CS15" s="9">
        <v>4.3278098433773557</v>
      </c>
      <c r="CT15" s="9">
        <v>2.2815155550744608</v>
      </c>
      <c r="CU15" s="9">
        <v>1.8235285354886039</v>
      </c>
      <c r="CV15" s="9">
        <v>1.6388203197372744</v>
      </c>
      <c r="CW15" s="9">
        <v>1.5286932820277395</v>
      </c>
      <c r="CX15" s="9">
        <v>1.8452506486662581</v>
      </c>
      <c r="CY15" s="9">
        <v>3.2353324221378479</v>
      </c>
      <c r="CZ15" s="9">
        <v>3.6468592368678161</v>
      </c>
      <c r="DA15" s="9">
        <v>1.9044359590801347</v>
      </c>
      <c r="DB15" s="9">
        <v>1.5760409965341609</v>
      </c>
      <c r="DC15" s="9">
        <v>1.4680410574208007</v>
      </c>
      <c r="DD15" s="9">
        <v>1.3921446157442645</v>
      </c>
      <c r="DE15" s="9">
        <v>1.796187144628467</v>
      </c>
      <c r="DF15" s="9">
        <v>3.2133530671941486</v>
      </c>
      <c r="DG15" s="9">
        <v>3.6497971593980214</v>
      </c>
      <c r="DH15" s="9">
        <v>2.6939963338440731</v>
      </c>
      <c r="DI15" s="9">
        <v>2.3060036661559264</v>
      </c>
      <c r="DJ15" s="9"/>
      <c r="DK15" s="9">
        <v>17</v>
      </c>
      <c r="DL15" s="9">
        <v>17</v>
      </c>
      <c r="DM15" s="9">
        <v>16</v>
      </c>
      <c r="DN15" s="9">
        <v>15</v>
      </c>
      <c r="DO15" s="9">
        <v>5</v>
      </c>
      <c r="DP15" s="9"/>
      <c r="DQ15" s="9">
        <v>70</v>
      </c>
      <c r="DR15" s="8">
        <f>+SUM(Tabla2[[#This Row],[1 gral]:[1 gral]])</f>
        <v>2.3235893361131872</v>
      </c>
      <c r="DS15" s="8">
        <f>+SUM(Tabla2[[#This Row],[1 temm]:[1 temm]])</f>
        <v>1.1014956676410637</v>
      </c>
      <c r="DT15" s="8">
        <f>+SUM(Tabla2[[#This Row],[1 porta]:[1 porta]])</f>
        <v>0.12059800083105997</v>
      </c>
      <c r="DU15" s="8">
        <f>+Tabla2[[#This Row],[GRAL]]-(Tabla2[[#This Row],[TEMM14]]+Tabla2[[#This Row],[PORTA15]])</f>
        <v>1.1014956676410637</v>
      </c>
    </row>
    <row r="16" spans="1:125" hidden="1" x14ac:dyDescent="0.2">
      <c r="A16" s="84" t="s">
        <v>455</v>
      </c>
      <c r="B16" s="84" t="s">
        <v>483</v>
      </c>
      <c r="C16" s="11" t="s">
        <v>450</v>
      </c>
      <c r="D16" s="11">
        <v>2090742</v>
      </c>
      <c r="E16" s="11" t="s">
        <v>394</v>
      </c>
      <c r="F16" s="11" t="s">
        <v>461</v>
      </c>
      <c r="G16" s="43" t="s">
        <v>280</v>
      </c>
      <c r="H16" s="10">
        <v>0.24119600166211994</v>
      </c>
      <c r="I16" s="10">
        <v>0.33579695298934253</v>
      </c>
      <c r="J16" s="10">
        <v>0.31244143871585139</v>
      </c>
      <c r="K16" s="10">
        <v>0.30013905508055283</v>
      </c>
      <c r="L16" s="10">
        <v>0.32748172384067437</v>
      </c>
      <c r="M16" s="10">
        <v>0.29486199897824017</v>
      </c>
      <c r="N16" s="10">
        <v>0.18808282873321855</v>
      </c>
      <c r="O16" s="10">
        <v>0.26913751642976363</v>
      </c>
      <c r="P16" s="10">
        <v>0.31415860516523431</v>
      </c>
      <c r="Q16" s="10">
        <v>0.27333323693359379</v>
      </c>
      <c r="R16" s="10">
        <v>0.30502427626390816</v>
      </c>
      <c r="S16" s="10">
        <v>0.32289190451791866</v>
      </c>
      <c r="T16" s="10">
        <v>0.34035535288407659</v>
      </c>
      <c r="U16" s="10">
        <v>0.17509910780550492</v>
      </c>
      <c r="V16" s="10">
        <v>0.27992707526488514</v>
      </c>
      <c r="W16" s="10">
        <v>0.32816098602968802</v>
      </c>
      <c r="X16" s="10">
        <v>0.29945372551280836</v>
      </c>
      <c r="Y16" s="10">
        <v>0.29261704850374559</v>
      </c>
      <c r="Z16" s="10">
        <v>0.30749537322329268</v>
      </c>
      <c r="AA16" s="10">
        <v>0.32200674861888828</v>
      </c>
      <c r="AB16" s="10">
        <v>0.17033904284669213</v>
      </c>
      <c r="AC16" s="10">
        <v>0.28924212437401942</v>
      </c>
      <c r="AD16" s="10">
        <v>0.31855760584317744</v>
      </c>
      <c r="AE16" s="10">
        <v>0.30646962941858735</v>
      </c>
      <c r="AF16" s="10">
        <v>0.27458903897206444</v>
      </c>
      <c r="AG16" s="10">
        <v>0.31217939197791778</v>
      </c>
      <c r="AH16" s="10">
        <v>0.326075292002592</v>
      </c>
      <c r="AI16" s="10">
        <v>0.17288691741164147</v>
      </c>
      <c r="AJ16" s="10">
        <v>0.98121347329160713</v>
      </c>
      <c r="AK16" s="10">
        <v>1.0187865267083926</v>
      </c>
      <c r="AL16" s="10">
        <v>0</v>
      </c>
      <c r="AM16" s="6">
        <v>2</v>
      </c>
      <c r="AN16" s="8">
        <v>2</v>
      </c>
      <c r="AO16" s="8">
        <v>2</v>
      </c>
      <c r="AP16" s="8">
        <v>2</v>
      </c>
      <c r="AQ16" s="8">
        <v>2</v>
      </c>
      <c r="AR16" s="8">
        <v>0</v>
      </c>
      <c r="AS16" s="64">
        <v>10</v>
      </c>
      <c r="AT16" s="8">
        <v>2.4783652521923933</v>
      </c>
      <c r="AU16" s="8">
        <v>2.001680593655458</v>
      </c>
      <c r="AV16" s="8">
        <v>1.8825406013016266</v>
      </c>
      <c r="AW16" s="8">
        <v>1.8447166432287703</v>
      </c>
      <c r="AX16" s="8">
        <v>2.1084636993112338</v>
      </c>
      <c r="AY16" s="8">
        <v>3.27425545620373</v>
      </c>
      <c r="AZ16" s="8">
        <v>4.409977754106789</v>
      </c>
      <c r="BA16" s="8">
        <v>2.2080036323111707</v>
      </c>
      <c r="BB16" s="8">
        <v>1.8130790657893447</v>
      </c>
      <c r="BC16" s="8">
        <v>1.6518741447844199</v>
      </c>
      <c r="BD16" s="8">
        <v>1.6224763082087779</v>
      </c>
      <c r="BE16" s="8">
        <v>2.2344465549776014</v>
      </c>
      <c r="BF16" s="8">
        <v>3.6998274682697576</v>
      </c>
      <c r="BG16" s="8">
        <v>4.7702928256589283</v>
      </c>
      <c r="BH16" s="8">
        <v>2.4270922864342874</v>
      </c>
      <c r="BI16" s="8">
        <v>1.8807077814702611</v>
      </c>
      <c r="BJ16" s="8">
        <v>1.6876392512449863</v>
      </c>
      <c r="BK16" s="8">
        <v>1.5667027254793158</v>
      </c>
      <c r="BL16" s="8">
        <v>1.9170366903285598</v>
      </c>
      <c r="BM16" s="8">
        <v>3.4842395875388577</v>
      </c>
      <c r="BN16" s="8">
        <v>4.0365816775037331</v>
      </c>
      <c r="BO16" s="8">
        <v>2.1369180890845088</v>
      </c>
      <c r="BP16" s="8">
        <v>1.7203540922438374</v>
      </c>
      <c r="BQ16" s="8">
        <v>1.5965504375782587</v>
      </c>
      <c r="BR16" s="8">
        <v>1.523746545456425</v>
      </c>
      <c r="BS16" s="8">
        <v>1.9915469019194025</v>
      </c>
      <c r="BT16" s="8">
        <v>3.7039544400198925</v>
      </c>
      <c r="BU16" s="8">
        <v>4.3269294936976728</v>
      </c>
      <c r="BV16" s="8">
        <v>2.7542369964978368</v>
      </c>
      <c r="BW16" s="8">
        <v>2.2457630035021627</v>
      </c>
      <c r="BX16" s="8">
        <v>0</v>
      </c>
      <c r="BY16" s="8">
        <v>18</v>
      </c>
      <c r="BZ16" s="8">
        <v>18</v>
      </c>
      <c r="CA16" s="8">
        <v>17</v>
      </c>
      <c r="CB16" s="8">
        <v>17</v>
      </c>
      <c r="CC16" s="8">
        <v>5</v>
      </c>
      <c r="CD16" s="8">
        <v>0</v>
      </c>
      <c r="CE16" s="8">
        <v>75</v>
      </c>
      <c r="CF16" s="9">
        <v>3.9587438799507098</v>
      </c>
      <c r="CG16" s="9">
        <v>3.3383178434725291</v>
      </c>
      <c r="CH16" s="9">
        <v>3.1362523406682912</v>
      </c>
      <c r="CI16" s="9">
        <v>3.0672140199237079</v>
      </c>
      <c r="CJ16" s="9">
        <v>3.4901772728075251</v>
      </c>
      <c r="CK16" s="9">
        <v>5.2062451832838352</v>
      </c>
      <c r="CL16" s="9">
        <v>6.8030494598934022</v>
      </c>
      <c r="CM16" s="9">
        <v>3.5811429648965198</v>
      </c>
      <c r="CN16" s="9">
        <v>3.0337772038492514</v>
      </c>
      <c r="CO16" s="9">
        <v>2.7511444541102232</v>
      </c>
      <c r="CP16" s="9">
        <v>2.7387387385770747</v>
      </c>
      <c r="CQ16" s="9">
        <v>3.6745617369843204</v>
      </c>
      <c r="CR16" s="9">
        <v>5.8900965552887135</v>
      </c>
      <c r="CS16" s="9">
        <v>7.3305383462938973</v>
      </c>
      <c r="CT16" s="9">
        <v>3.9919505721643835</v>
      </c>
      <c r="CU16" s="9">
        <v>3.204537592984205</v>
      </c>
      <c r="CV16" s="9">
        <v>2.8805490509463167</v>
      </c>
      <c r="CW16" s="9">
        <v>2.6887506286485814</v>
      </c>
      <c r="CX16" s="9">
        <v>3.2394338407846197</v>
      </c>
      <c r="CY16" s="9">
        <v>5.6508437648547876</v>
      </c>
      <c r="CZ16" s="9">
        <v>6.3439345496171065</v>
      </c>
      <c r="DA16" s="9">
        <v>3.5574697900326795</v>
      </c>
      <c r="DB16" s="9">
        <v>2.9496873939808115</v>
      </c>
      <c r="DC16" s="9">
        <v>2.7482526515971006</v>
      </c>
      <c r="DD16" s="9">
        <v>2.6050249320230674</v>
      </c>
      <c r="DE16" s="9">
        <v>3.3580746537370043</v>
      </c>
      <c r="DF16" s="9">
        <v>5.9909467885036038</v>
      </c>
      <c r="DG16" s="9">
        <v>6.7905437901257297</v>
      </c>
      <c r="DH16" s="9">
        <v>4.8371452683885785</v>
      </c>
      <c r="DI16" s="9">
        <v>4.1628547316114206</v>
      </c>
      <c r="DJ16" s="9"/>
      <c r="DK16" s="9">
        <v>29</v>
      </c>
      <c r="DL16" s="9">
        <v>29</v>
      </c>
      <c r="DM16" s="9">
        <v>28</v>
      </c>
      <c r="DN16" s="9">
        <v>28</v>
      </c>
      <c r="DO16" s="9">
        <v>9</v>
      </c>
      <c r="DP16" s="9"/>
      <c r="DQ16" s="9">
        <v>123</v>
      </c>
      <c r="DR16" s="8">
        <f>+SUM(Tabla2[[#This Row],[1 gral]:[1 gral]])</f>
        <v>3.9587438799507098</v>
      </c>
      <c r="DS16" s="8">
        <f>+SUM(Tabla2[[#This Row],[1 temm]:[1 temm]])</f>
        <v>2.4783652521923933</v>
      </c>
      <c r="DT16" s="8">
        <f>+SUM(Tabla2[[#This Row],[1 porta]:[1 porta]])</f>
        <v>0.24119600166211994</v>
      </c>
      <c r="DU16" s="8">
        <f>+Tabla2[[#This Row],[GRAL]]-(Tabla2[[#This Row],[TEMM14]]+Tabla2[[#This Row],[PORTA15]])</f>
        <v>1.2391826260961967</v>
      </c>
    </row>
    <row r="17" spans="1:125" x14ac:dyDescent="0.2">
      <c r="A17" s="84" t="s">
        <v>99</v>
      </c>
      <c r="B17" s="84" t="s">
        <v>482</v>
      </c>
      <c r="C17" s="11" t="s">
        <v>126</v>
      </c>
      <c r="D17" s="11">
        <v>2090749</v>
      </c>
      <c r="E17" s="11" t="s">
        <v>22</v>
      </c>
      <c r="F17" s="11" t="s">
        <v>306</v>
      </c>
      <c r="G17" s="43" t="s">
        <v>280</v>
      </c>
      <c r="H17" s="10">
        <v>0.12059800083105997</v>
      </c>
      <c r="I17" s="10">
        <v>0.16789847649467127</v>
      </c>
      <c r="J17" s="10">
        <v>0.1562207193579257</v>
      </c>
      <c r="K17" s="10">
        <v>0.15006952754027642</v>
      </c>
      <c r="L17" s="10">
        <v>0.16374086192033718</v>
      </c>
      <c r="M17" s="10">
        <v>0.14743099948912008</v>
      </c>
      <c r="N17" s="10">
        <v>9.4041414366609274E-2</v>
      </c>
      <c r="O17" s="10">
        <v>0.13456875821488182</v>
      </c>
      <c r="P17" s="10">
        <v>0.15707930258261715</v>
      </c>
      <c r="Q17" s="10">
        <v>0.1366666184667969</v>
      </c>
      <c r="R17" s="10">
        <v>0.15251213813195408</v>
      </c>
      <c r="S17" s="10">
        <v>0.16144595225895933</v>
      </c>
      <c r="T17" s="10">
        <v>0.17017767644203829</v>
      </c>
      <c r="U17" s="10">
        <v>8.7549553902752458E-2</v>
      </c>
      <c r="V17" s="10">
        <v>0.13996353763244257</v>
      </c>
      <c r="W17" s="10">
        <v>0.16408049301484401</v>
      </c>
      <c r="X17" s="10">
        <v>0.14972686275640418</v>
      </c>
      <c r="Y17" s="10">
        <v>0.1463085242518728</v>
      </c>
      <c r="Z17" s="10">
        <v>0.15374768661164634</v>
      </c>
      <c r="AA17" s="10">
        <v>0.16100337430944414</v>
      </c>
      <c r="AB17" s="10">
        <v>8.5169521423346065E-2</v>
      </c>
      <c r="AC17" s="10">
        <v>0.14462106218700971</v>
      </c>
      <c r="AD17" s="10">
        <v>0.15927880292158872</v>
      </c>
      <c r="AE17" s="10">
        <v>0.15323481470929368</v>
      </c>
      <c r="AF17" s="10">
        <v>0.13729451948603222</v>
      </c>
      <c r="AG17" s="10">
        <v>0.15608969598895889</v>
      </c>
      <c r="AH17" s="10">
        <v>0.163037646001296</v>
      </c>
      <c r="AI17" s="10">
        <v>8.6443458705820736E-2</v>
      </c>
      <c r="AJ17" s="10">
        <v>0.49060673664580357</v>
      </c>
      <c r="AK17" s="10">
        <v>0.50939326335419632</v>
      </c>
      <c r="AL17" s="10">
        <v>0</v>
      </c>
      <c r="AM17" s="6">
        <v>1</v>
      </c>
      <c r="AN17" s="8">
        <v>1</v>
      </c>
      <c r="AO17" s="8">
        <v>1</v>
      </c>
      <c r="AP17" s="8">
        <v>1</v>
      </c>
      <c r="AQ17" s="8">
        <v>1</v>
      </c>
      <c r="AR17" s="8">
        <v>0</v>
      </c>
      <c r="AS17" s="87">
        <v>5</v>
      </c>
      <c r="AT17" s="8">
        <v>0.96380870918593065</v>
      </c>
      <c r="AU17" s="8">
        <v>0.7784313419771226</v>
      </c>
      <c r="AV17" s="8">
        <v>0.73209912272841027</v>
      </c>
      <c r="AW17" s="8">
        <v>0.71738980570007738</v>
      </c>
      <c r="AX17" s="8">
        <v>0.81995810528770197</v>
      </c>
      <c r="AY17" s="8">
        <v>1.2733215663014508</v>
      </c>
      <c r="AZ17" s="8">
        <v>1.7149913488193069</v>
      </c>
      <c r="BA17" s="8">
        <v>0.85866807923212196</v>
      </c>
      <c r="BB17" s="8">
        <v>0.70508630336252298</v>
      </c>
      <c r="BC17" s="8">
        <v>0.64239550074949658</v>
      </c>
      <c r="BD17" s="8">
        <v>0.63096300874785816</v>
      </c>
      <c r="BE17" s="8">
        <v>0.86895143804684494</v>
      </c>
      <c r="BF17" s="8">
        <v>1.438821793216017</v>
      </c>
      <c r="BG17" s="8">
        <v>1.8551138766451387</v>
      </c>
      <c r="BH17" s="8">
        <v>0.85662080697680731</v>
      </c>
      <c r="BI17" s="8">
        <v>0.66377921698950393</v>
      </c>
      <c r="BJ17" s="8">
        <v>0.59563738279234812</v>
      </c>
      <c r="BK17" s="8">
        <v>0.55295390311034676</v>
      </c>
      <c r="BL17" s="8">
        <v>0.67660118482184461</v>
      </c>
      <c r="BM17" s="8">
        <v>1.2297316191313614</v>
      </c>
      <c r="BN17" s="8">
        <v>1.4246758861777882</v>
      </c>
      <c r="BO17" s="8">
        <v>0.75420638438276777</v>
      </c>
      <c r="BP17" s="8">
        <v>0.60718379726253091</v>
      </c>
      <c r="BQ17" s="8">
        <v>0.56348838973350301</v>
      </c>
      <c r="BR17" s="8">
        <v>0.53779289839638533</v>
      </c>
      <c r="BS17" s="8">
        <v>0.70289890655978915</v>
      </c>
      <c r="BT17" s="8">
        <v>1.3072780376540796</v>
      </c>
      <c r="BU17" s="8">
        <v>1.5271515860109433</v>
      </c>
      <c r="BV17" s="8">
        <v>1.1016947985991348</v>
      </c>
      <c r="BW17" s="8">
        <v>0.89830520140086512</v>
      </c>
      <c r="BX17" s="8">
        <v>0</v>
      </c>
      <c r="BY17" s="8">
        <v>7</v>
      </c>
      <c r="BZ17" s="8">
        <v>7</v>
      </c>
      <c r="CA17" s="8">
        <v>6</v>
      </c>
      <c r="CB17" s="8">
        <v>6</v>
      </c>
      <c r="CC17" s="8">
        <v>2</v>
      </c>
      <c r="CD17" s="8">
        <v>0</v>
      </c>
      <c r="CE17" s="8">
        <v>28</v>
      </c>
      <c r="CF17" s="9">
        <v>2.0482154192029212</v>
      </c>
      <c r="CG17" s="9">
        <v>1.7247611604489164</v>
      </c>
      <c r="CH17" s="9">
        <v>1.6204189648147462</v>
      </c>
      <c r="CI17" s="9">
        <v>1.5848491389404311</v>
      </c>
      <c r="CJ17" s="9">
        <v>1.8036570724957413</v>
      </c>
      <c r="CK17" s="9">
        <v>2.6940741320920214</v>
      </c>
      <c r="CL17" s="9">
        <v>3.5240241120052231</v>
      </c>
      <c r="CM17" s="9">
        <v>1.8519049166791257</v>
      </c>
      <c r="CN17" s="9">
        <v>1.5672519093076631</v>
      </c>
      <c r="CO17" s="9">
        <v>1.42145761996579</v>
      </c>
      <c r="CP17" s="9">
        <v>1.4144381556276704</v>
      </c>
      <c r="CQ17" s="9">
        <v>1.8993488283526494</v>
      </c>
      <c r="CR17" s="9">
        <v>3.0478212628740726</v>
      </c>
      <c r="CS17" s="9">
        <v>3.7977773071930301</v>
      </c>
      <c r="CT17" s="9">
        <v>1.8532051515860573</v>
      </c>
      <c r="CU17" s="9">
        <v>1.4916389269938519</v>
      </c>
      <c r="CV17" s="9">
        <v>1.3410016283411004</v>
      </c>
      <c r="CW17" s="9">
        <v>1.2522163304725664</v>
      </c>
      <c r="CX17" s="9">
        <v>1.5069500562553357</v>
      </c>
      <c r="CY17" s="9">
        <v>2.6204666125721667</v>
      </c>
      <c r="CZ17" s="9">
        <v>2.9345212937789222</v>
      </c>
      <c r="DA17" s="9">
        <v>1.6530338309525452</v>
      </c>
      <c r="DB17" s="9">
        <v>1.3736463974466506</v>
      </c>
      <c r="DC17" s="9">
        <v>1.2802115941762997</v>
      </c>
      <c r="DD17" s="9">
        <v>1.2128803162788029</v>
      </c>
      <c r="DE17" s="9">
        <v>1.5618875091085371</v>
      </c>
      <c r="DF17" s="9">
        <v>2.7775937213094553</v>
      </c>
      <c r="DG17" s="9">
        <v>3.1407466307277074</v>
      </c>
      <c r="DH17" s="9">
        <v>2.1431489345445058</v>
      </c>
      <c r="DI17" s="9">
        <v>1.8568510654554939</v>
      </c>
      <c r="DJ17" s="9"/>
      <c r="DK17" s="9">
        <v>15</v>
      </c>
      <c r="DL17" s="9">
        <v>15</v>
      </c>
      <c r="DM17" s="9">
        <v>13</v>
      </c>
      <c r="DN17" s="9">
        <v>13</v>
      </c>
      <c r="DO17" s="9">
        <v>4</v>
      </c>
      <c r="DP17" s="9"/>
      <c r="DQ17" s="9">
        <v>60</v>
      </c>
      <c r="DR17" s="8">
        <f>+SUM(Tabla2[[#This Row],[1 gral]:[1 gral]])</f>
        <v>2.0482154192029212</v>
      </c>
      <c r="DS17" s="8">
        <f>+SUM(Tabla2[[#This Row],[1 temm]:[1 temm]])</f>
        <v>0.96380870918593065</v>
      </c>
      <c r="DT17" s="8">
        <f>+SUM(Tabla2[[#This Row],[1 porta]:[1 porta]])</f>
        <v>0.12059800083105997</v>
      </c>
      <c r="DU17" s="8">
        <f>+Tabla2[[#This Row],[GRAL]]-(Tabla2[[#This Row],[TEMM14]]+Tabla2[[#This Row],[PORTA15]])</f>
        <v>0.96380870918593065</v>
      </c>
    </row>
    <row r="18" spans="1:125" hidden="1" x14ac:dyDescent="0.2">
      <c r="A18" s="84" t="s">
        <v>455</v>
      </c>
      <c r="B18" s="84" t="s">
        <v>483</v>
      </c>
      <c r="C18" s="11" t="s">
        <v>450</v>
      </c>
      <c r="D18" s="11">
        <v>2090826</v>
      </c>
      <c r="E18" s="11" t="s">
        <v>395</v>
      </c>
      <c r="F18" s="11" t="s">
        <v>462</v>
      </c>
      <c r="G18" s="43" t="s">
        <v>280</v>
      </c>
      <c r="H18" s="10">
        <v>0.12059800083105997</v>
      </c>
      <c r="I18" s="10">
        <v>0.16789847649467127</v>
      </c>
      <c r="J18" s="10">
        <v>0.1562207193579257</v>
      </c>
      <c r="K18" s="10">
        <v>0.15006952754027642</v>
      </c>
      <c r="L18" s="10">
        <v>0.16374086192033718</v>
      </c>
      <c r="M18" s="10">
        <v>0.14743099948912008</v>
      </c>
      <c r="N18" s="10">
        <v>9.4041414366609274E-2</v>
      </c>
      <c r="O18" s="10">
        <v>0.13456875821488182</v>
      </c>
      <c r="P18" s="10">
        <v>0.15707930258261715</v>
      </c>
      <c r="Q18" s="10">
        <v>0.1366666184667969</v>
      </c>
      <c r="R18" s="10">
        <v>0.15251213813195408</v>
      </c>
      <c r="S18" s="10">
        <v>0.16144595225895933</v>
      </c>
      <c r="T18" s="10">
        <v>0.17017767644203829</v>
      </c>
      <c r="U18" s="10">
        <v>8.7549553902752458E-2</v>
      </c>
      <c r="V18" s="10">
        <v>0.13996353763244257</v>
      </c>
      <c r="W18" s="10">
        <v>0.16408049301484401</v>
      </c>
      <c r="X18" s="10">
        <v>0.14972686275640418</v>
      </c>
      <c r="Y18" s="10">
        <v>0.1463085242518728</v>
      </c>
      <c r="Z18" s="10">
        <v>0.15374768661164634</v>
      </c>
      <c r="AA18" s="10">
        <v>0.16100337430944414</v>
      </c>
      <c r="AB18" s="10">
        <v>8.5169521423346065E-2</v>
      </c>
      <c r="AC18" s="10">
        <v>0.14462106218700971</v>
      </c>
      <c r="AD18" s="10">
        <v>0.15927880292158872</v>
      </c>
      <c r="AE18" s="10">
        <v>0.15323481470929368</v>
      </c>
      <c r="AF18" s="10">
        <v>0.13729451948603222</v>
      </c>
      <c r="AG18" s="10">
        <v>0.15608969598895889</v>
      </c>
      <c r="AH18" s="10">
        <v>0.163037646001296</v>
      </c>
      <c r="AI18" s="10">
        <v>8.6443458705820736E-2</v>
      </c>
      <c r="AJ18" s="10">
        <v>0</v>
      </c>
      <c r="AK18" s="10">
        <v>0</v>
      </c>
      <c r="AL18" s="10">
        <v>0</v>
      </c>
      <c r="AM18" s="6">
        <v>1</v>
      </c>
      <c r="AN18" s="8">
        <v>1</v>
      </c>
      <c r="AO18" s="8">
        <v>1</v>
      </c>
      <c r="AP18" s="8">
        <v>1</v>
      </c>
      <c r="AQ18" s="8">
        <v>0</v>
      </c>
      <c r="AR18" s="8">
        <v>0</v>
      </c>
      <c r="AS18" s="64">
        <v>4</v>
      </c>
      <c r="AT18" s="8">
        <v>1.1014956676410637</v>
      </c>
      <c r="AU18" s="8">
        <v>0.88963581940242586</v>
      </c>
      <c r="AV18" s="8">
        <v>0.83668471168961178</v>
      </c>
      <c r="AW18" s="8">
        <v>0.81987406365723126</v>
      </c>
      <c r="AX18" s="8">
        <v>0.93709497747165937</v>
      </c>
      <c r="AY18" s="8">
        <v>1.4552246472016579</v>
      </c>
      <c r="AZ18" s="8">
        <v>1.9599901129363508</v>
      </c>
      <c r="BA18" s="8">
        <v>0.98133494769385365</v>
      </c>
      <c r="BB18" s="8">
        <v>0.80581291812859768</v>
      </c>
      <c r="BC18" s="8">
        <v>0.73416628657085325</v>
      </c>
      <c r="BD18" s="8">
        <v>0.72110058142612354</v>
      </c>
      <c r="BE18" s="8">
        <v>0.99308735776782275</v>
      </c>
      <c r="BF18" s="8">
        <v>1.6443677636754479</v>
      </c>
      <c r="BG18" s="8">
        <v>2.1201301447373013</v>
      </c>
      <c r="BH18" s="8">
        <v>1.1421610759690763</v>
      </c>
      <c r="BI18" s="8">
        <v>0.88503895598600524</v>
      </c>
      <c r="BJ18" s="8">
        <v>0.79418317705646413</v>
      </c>
      <c r="BK18" s="8">
        <v>0.73727187081379564</v>
      </c>
      <c r="BL18" s="8">
        <v>0.90213491309579286</v>
      </c>
      <c r="BM18" s="8">
        <v>1.6396421588418153</v>
      </c>
      <c r="BN18" s="8">
        <v>1.8995678482370508</v>
      </c>
      <c r="BO18" s="8">
        <v>0.87990744844656243</v>
      </c>
      <c r="BP18" s="8">
        <v>0.70838109680628603</v>
      </c>
      <c r="BQ18" s="8">
        <v>0.65740312135575352</v>
      </c>
      <c r="BR18" s="8">
        <v>0.62742504812911615</v>
      </c>
      <c r="BS18" s="8">
        <v>0.82004872431975406</v>
      </c>
      <c r="BT18" s="8">
        <v>1.5251577105964262</v>
      </c>
      <c r="BU18" s="8">
        <v>1.7816768503461005</v>
      </c>
      <c r="BV18" s="8">
        <v>1.1016947985991348</v>
      </c>
      <c r="BW18" s="8">
        <v>0.89830520140086512</v>
      </c>
      <c r="BX18" s="8">
        <v>0</v>
      </c>
      <c r="BY18" s="8">
        <v>8</v>
      </c>
      <c r="BZ18" s="8">
        <v>8</v>
      </c>
      <c r="CA18" s="8">
        <v>8</v>
      </c>
      <c r="CB18" s="8">
        <v>7</v>
      </c>
      <c r="CC18" s="8">
        <v>2</v>
      </c>
      <c r="CD18" s="8">
        <v>0</v>
      </c>
      <c r="CE18" s="8">
        <v>33</v>
      </c>
      <c r="CF18" s="9">
        <v>1.7728415022926554</v>
      </c>
      <c r="CG18" s="9">
        <v>1.5023522055983101</v>
      </c>
      <c r="CH18" s="9">
        <v>1.4112477868923434</v>
      </c>
      <c r="CI18" s="9">
        <v>1.3798806230261231</v>
      </c>
      <c r="CJ18" s="9">
        <v>1.5693833281278262</v>
      </c>
      <c r="CK18" s="9">
        <v>2.3302679702916071</v>
      </c>
      <c r="CL18" s="9">
        <v>3.0340265837711353</v>
      </c>
      <c r="CM18" s="9">
        <v>1.6065711797556623</v>
      </c>
      <c r="CN18" s="9">
        <v>1.3657986797755137</v>
      </c>
      <c r="CO18" s="9">
        <v>1.2379160483230769</v>
      </c>
      <c r="CP18" s="9">
        <v>1.2341630102711394</v>
      </c>
      <c r="CQ18" s="9">
        <v>1.6510769889106935</v>
      </c>
      <c r="CR18" s="9">
        <v>2.6367293219552104</v>
      </c>
      <c r="CS18" s="9">
        <v>3.2677447710087044</v>
      </c>
      <c r="CT18" s="9">
        <v>1.7104350170899227</v>
      </c>
      <c r="CU18" s="9">
        <v>1.3810090574956013</v>
      </c>
      <c r="CV18" s="9">
        <v>1.2417287312090424</v>
      </c>
      <c r="CW18" s="9">
        <v>1.1600573466208419</v>
      </c>
      <c r="CX18" s="9">
        <v>1.3941831921183616</v>
      </c>
      <c r="CY18" s="9">
        <v>2.4155113427169401</v>
      </c>
      <c r="CZ18" s="9">
        <v>2.6970753127492912</v>
      </c>
      <c r="DA18" s="9">
        <v>1.4016317028249561</v>
      </c>
      <c r="DB18" s="9">
        <v>1.1712517983591402</v>
      </c>
      <c r="DC18" s="9">
        <v>1.0923821309317987</v>
      </c>
      <c r="DD18" s="9">
        <v>1.033616016813341</v>
      </c>
      <c r="DE18" s="9">
        <v>1.3275878735886075</v>
      </c>
      <c r="DF18" s="9">
        <v>2.3418343754247619</v>
      </c>
      <c r="DG18" s="9">
        <v>2.6316961020573926</v>
      </c>
      <c r="DH18" s="9">
        <v>1.6525421978987023</v>
      </c>
      <c r="DI18" s="9">
        <v>1.3474578021012977</v>
      </c>
      <c r="DJ18" s="9"/>
      <c r="DK18" s="9">
        <v>13</v>
      </c>
      <c r="DL18" s="9">
        <v>13</v>
      </c>
      <c r="DM18" s="9">
        <v>12</v>
      </c>
      <c r="DN18" s="9">
        <v>11</v>
      </c>
      <c r="DO18" s="9">
        <v>3</v>
      </c>
      <c r="DP18" s="9"/>
      <c r="DQ18" s="9">
        <v>52</v>
      </c>
      <c r="DR18" s="8">
        <f>+SUM(Tabla2[[#This Row],[1 gral]:[1 gral]])</f>
        <v>1.7728415022926554</v>
      </c>
      <c r="DS18" s="8">
        <f>+SUM(Tabla2[[#This Row],[1 temm]:[1 temm]])</f>
        <v>1.1014956676410637</v>
      </c>
      <c r="DT18" s="8">
        <f>+SUM(Tabla2[[#This Row],[1 porta]:[1 porta]])</f>
        <v>0.12059800083105997</v>
      </c>
      <c r="DU18" s="8">
        <f>+Tabla2[[#This Row],[GRAL]]-(Tabla2[[#This Row],[TEMM14]]+Tabla2[[#This Row],[PORTA15]])</f>
        <v>0.55074783382053183</v>
      </c>
    </row>
    <row r="19" spans="1:125" x14ac:dyDescent="0.2">
      <c r="A19" s="84" t="s">
        <v>99</v>
      </c>
      <c r="B19" s="84" t="s">
        <v>482</v>
      </c>
      <c r="C19" s="11" t="s">
        <v>125</v>
      </c>
      <c r="D19" s="11">
        <v>2090839</v>
      </c>
      <c r="E19" s="11" t="s">
        <v>6</v>
      </c>
      <c r="F19" s="11" t="s">
        <v>308</v>
      </c>
      <c r="G19" s="43" t="s">
        <v>280</v>
      </c>
      <c r="H19" s="10">
        <v>0.24119600166211994</v>
      </c>
      <c r="I19" s="10">
        <v>0.33579695298934253</v>
      </c>
      <c r="J19" s="10">
        <v>0.31244143871585139</v>
      </c>
      <c r="K19" s="10">
        <v>0.30013905508055283</v>
      </c>
      <c r="L19" s="10">
        <v>0.32748172384067437</v>
      </c>
      <c r="M19" s="10">
        <v>0.29486199897824017</v>
      </c>
      <c r="N19" s="10">
        <v>0.18808282873321855</v>
      </c>
      <c r="O19" s="10">
        <v>0.26913751642976363</v>
      </c>
      <c r="P19" s="10">
        <v>0.31415860516523431</v>
      </c>
      <c r="Q19" s="10">
        <v>0.27333323693359379</v>
      </c>
      <c r="R19" s="10">
        <v>0.30502427626390816</v>
      </c>
      <c r="S19" s="10">
        <v>0.32289190451791866</v>
      </c>
      <c r="T19" s="10">
        <v>0.34035535288407659</v>
      </c>
      <c r="U19" s="10">
        <v>0.17509910780550492</v>
      </c>
      <c r="V19" s="10">
        <v>0.27992707526488514</v>
      </c>
      <c r="W19" s="10">
        <v>0.32816098602968802</v>
      </c>
      <c r="X19" s="10">
        <v>0.29945372551280836</v>
      </c>
      <c r="Y19" s="10">
        <v>0.29261704850374559</v>
      </c>
      <c r="Z19" s="10">
        <v>0.30749537322329268</v>
      </c>
      <c r="AA19" s="10">
        <v>0.32200674861888828</v>
      </c>
      <c r="AB19" s="10">
        <v>0.17033904284669213</v>
      </c>
      <c r="AC19" s="10">
        <v>0.28924212437401942</v>
      </c>
      <c r="AD19" s="10">
        <v>0.31855760584317744</v>
      </c>
      <c r="AE19" s="10">
        <v>0.30646962941858735</v>
      </c>
      <c r="AF19" s="10">
        <v>0.27458903897206444</v>
      </c>
      <c r="AG19" s="10">
        <v>0.31217939197791778</v>
      </c>
      <c r="AH19" s="10">
        <v>0.326075292002592</v>
      </c>
      <c r="AI19" s="10">
        <v>0.17288691741164147</v>
      </c>
      <c r="AJ19" s="10">
        <v>0.98121347329160713</v>
      </c>
      <c r="AK19" s="10">
        <v>1.0187865267083926</v>
      </c>
      <c r="AL19" s="10">
        <v>0</v>
      </c>
      <c r="AM19" s="6">
        <v>2</v>
      </c>
      <c r="AN19" s="8">
        <v>2</v>
      </c>
      <c r="AO19" s="8">
        <v>2</v>
      </c>
      <c r="AP19" s="8">
        <v>2</v>
      </c>
      <c r="AQ19" s="8">
        <v>2</v>
      </c>
      <c r="AR19" s="8">
        <v>0</v>
      </c>
      <c r="AS19" s="64">
        <v>10</v>
      </c>
      <c r="AT19" s="8">
        <v>2.0482154192029212</v>
      </c>
      <c r="AU19" s="8">
        <v>1.7247611604489164</v>
      </c>
      <c r="AV19" s="8">
        <v>1.6204189648147462</v>
      </c>
      <c r="AW19" s="8">
        <v>1.5848491389404311</v>
      </c>
      <c r="AX19" s="8">
        <v>1.803657072495741</v>
      </c>
      <c r="AY19" s="8">
        <v>2.6940741320920214</v>
      </c>
      <c r="AZ19" s="8">
        <v>3.5240241120052231</v>
      </c>
      <c r="BA19" s="8">
        <v>1.8519049166791257</v>
      </c>
      <c r="BB19" s="8">
        <v>1.5672519093076631</v>
      </c>
      <c r="BC19" s="8">
        <v>1.42145761996579</v>
      </c>
      <c r="BD19" s="8">
        <v>1.4144381556276704</v>
      </c>
      <c r="BE19" s="8">
        <v>1.8993488283526492</v>
      </c>
      <c r="BF19" s="8">
        <v>3.0478212628740722</v>
      </c>
      <c r="BG19" s="8">
        <v>3.7977773071930301</v>
      </c>
      <c r="BH19" s="8">
        <v>1.9959752860821918</v>
      </c>
      <c r="BI19" s="8">
        <v>1.6022687964921025</v>
      </c>
      <c r="BJ19" s="8">
        <v>1.4402745254731584</v>
      </c>
      <c r="BK19" s="8">
        <v>1.3443753143242909</v>
      </c>
      <c r="BL19" s="8">
        <v>1.6197169203923096</v>
      </c>
      <c r="BM19" s="8">
        <v>2.8254218824273942</v>
      </c>
      <c r="BN19" s="8">
        <v>3.1719672748085537</v>
      </c>
      <c r="BO19" s="8">
        <v>1.77873489501634</v>
      </c>
      <c r="BP19" s="8">
        <v>1.4748436969904057</v>
      </c>
      <c r="BQ19" s="8">
        <v>1.3741263257985503</v>
      </c>
      <c r="BR19" s="8">
        <v>1.3025124660115337</v>
      </c>
      <c r="BS19" s="8">
        <v>1.6790373268685019</v>
      </c>
      <c r="BT19" s="8">
        <v>2.9954733942518019</v>
      </c>
      <c r="BU19" s="8">
        <v>3.3952718950628649</v>
      </c>
      <c r="BV19" s="8">
        <v>1.1016947985991348</v>
      </c>
      <c r="BW19" s="8">
        <v>0.89830520140086512</v>
      </c>
      <c r="BX19" s="8">
        <v>0</v>
      </c>
      <c r="BY19" s="8">
        <v>15</v>
      </c>
      <c r="BZ19" s="8">
        <v>15</v>
      </c>
      <c r="CA19" s="8">
        <v>14</v>
      </c>
      <c r="CB19" s="8">
        <v>14</v>
      </c>
      <c r="CC19" s="8">
        <v>2</v>
      </c>
      <c r="CD19" s="8">
        <v>0</v>
      </c>
      <c r="CE19" s="8">
        <v>60</v>
      </c>
      <c r="CF19" s="9">
        <v>3.6833699630404437</v>
      </c>
      <c r="CG19" s="9">
        <v>3.1159088886219233</v>
      </c>
      <c r="CH19" s="9">
        <v>2.9270811627458881</v>
      </c>
      <c r="CI19" s="9">
        <v>2.8622455040094001</v>
      </c>
      <c r="CJ19" s="9">
        <v>3.2559035284396103</v>
      </c>
      <c r="CK19" s="9">
        <v>4.8424390214834219</v>
      </c>
      <c r="CL19" s="9">
        <v>6.3130519316593148</v>
      </c>
      <c r="CM19" s="9">
        <v>3.3358092279730562</v>
      </c>
      <c r="CN19" s="9">
        <v>2.8323239743171023</v>
      </c>
      <c r="CO19" s="9">
        <v>2.5676028824675101</v>
      </c>
      <c r="CP19" s="9">
        <v>2.5584635932205444</v>
      </c>
      <c r="CQ19" s="9">
        <v>3.426289897542365</v>
      </c>
      <c r="CR19" s="9">
        <v>5.4790046143698516</v>
      </c>
      <c r="CS19" s="9">
        <v>6.8005058101095717</v>
      </c>
      <c r="CT19" s="9">
        <v>3.5636401686759793</v>
      </c>
      <c r="CU19" s="9">
        <v>2.8726479844894528</v>
      </c>
      <c r="CV19" s="9">
        <v>2.5827303595501427</v>
      </c>
      <c r="CW19" s="9">
        <v>2.4122736770934079</v>
      </c>
      <c r="CX19" s="9">
        <v>2.9011332483736973</v>
      </c>
      <c r="CY19" s="9">
        <v>5.0359779552891073</v>
      </c>
      <c r="CZ19" s="9">
        <v>5.6315966065282135</v>
      </c>
      <c r="DA19" s="9">
        <v>3.1803665978412963</v>
      </c>
      <c r="DB19" s="9">
        <v>2.6460954953495457</v>
      </c>
      <c r="DC19" s="9">
        <v>2.4665084567303488</v>
      </c>
      <c r="DD19" s="9">
        <v>2.3361284828248747</v>
      </c>
      <c r="DE19" s="9">
        <v>3.0066252004571092</v>
      </c>
      <c r="DF19" s="9">
        <v>5.3373077696765634</v>
      </c>
      <c r="DG19" s="9">
        <v>6.0269679971202574</v>
      </c>
      <c r="DH19" s="9">
        <v>3.1846030704898762</v>
      </c>
      <c r="DI19" s="9">
        <v>2.8153969295101229</v>
      </c>
      <c r="DJ19" s="9"/>
      <c r="DK19" s="9">
        <v>27</v>
      </c>
      <c r="DL19" s="9">
        <v>27</v>
      </c>
      <c r="DM19" s="9">
        <v>25</v>
      </c>
      <c r="DN19" s="9">
        <v>25</v>
      </c>
      <c r="DO19" s="9">
        <v>6</v>
      </c>
      <c r="DP19" s="9"/>
      <c r="DQ19" s="9">
        <v>110</v>
      </c>
      <c r="DR19" s="8">
        <f>+SUM(Tabla2[[#This Row],[1 gral]:[1 gral]])</f>
        <v>3.6833699630404437</v>
      </c>
      <c r="DS19" s="8">
        <f>+SUM(Tabla2[[#This Row],[1 temm]:[1 temm]])</f>
        <v>2.0482154192029212</v>
      </c>
      <c r="DT19" s="8">
        <f>+SUM(Tabla2[[#This Row],[1 porta]:[1 porta]])</f>
        <v>0.24119600166211994</v>
      </c>
      <c r="DU19" s="8">
        <f>+Tabla2[[#This Row],[GRAL]]-(Tabla2[[#This Row],[TEMM14]]+Tabla2[[#This Row],[PORTA15]])</f>
        <v>1.3939585421754028</v>
      </c>
    </row>
    <row r="20" spans="1:125" x14ac:dyDescent="0.2">
      <c r="A20" s="84" t="s">
        <v>99</v>
      </c>
      <c r="B20" s="84" t="s">
        <v>482</v>
      </c>
      <c r="C20" s="11" t="s">
        <v>125</v>
      </c>
      <c r="D20" s="11">
        <v>2090872</v>
      </c>
      <c r="E20" s="11" t="s">
        <v>24</v>
      </c>
      <c r="F20" s="11" t="s">
        <v>306</v>
      </c>
      <c r="G20" s="43" t="s">
        <v>280</v>
      </c>
      <c r="H20" s="10">
        <v>0.12059800083105997</v>
      </c>
      <c r="I20" s="10">
        <v>0.16789847649467127</v>
      </c>
      <c r="J20" s="10">
        <v>0.1562207193579257</v>
      </c>
      <c r="K20" s="10">
        <v>0.15006952754027642</v>
      </c>
      <c r="L20" s="10">
        <v>0.16374086192033718</v>
      </c>
      <c r="M20" s="10">
        <v>0.14743099948912008</v>
      </c>
      <c r="N20" s="10">
        <v>9.4041414366609274E-2</v>
      </c>
      <c r="O20" s="10">
        <v>0.13456875821488182</v>
      </c>
      <c r="P20" s="10">
        <v>0.15707930258261715</v>
      </c>
      <c r="Q20" s="10">
        <v>0.1366666184667969</v>
      </c>
      <c r="R20" s="10">
        <v>0.15251213813195408</v>
      </c>
      <c r="S20" s="10">
        <v>0.16144595225895933</v>
      </c>
      <c r="T20" s="10">
        <v>0.17017767644203829</v>
      </c>
      <c r="U20" s="10">
        <v>8.7549553902752458E-2</v>
      </c>
      <c r="V20" s="10">
        <v>0.13996353763244257</v>
      </c>
      <c r="W20" s="10">
        <v>0.16408049301484401</v>
      </c>
      <c r="X20" s="10">
        <v>0.14972686275640418</v>
      </c>
      <c r="Y20" s="10">
        <v>0.1463085242518728</v>
      </c>
      <c r="Z20" s="10">
        <v>0.15374768661164634</v>
      </c>
      <c r="AA20" s="10">
        <v>0.16100337430944414</v>
      </c>
      <c r="AB20" s="10">
        <v>8.5169521423346065E-2</v>
      </c>
      <c r="AC20" s="10">
        <v>0.14462106218700971</v>
      </c>
      <c r="AD20" s="10">
        <v>0.15927880292158872</v>
      </c>
      <c r="AE20" s="10">
        <v>0.15323481470929368</v>
      </c>
      <c r="AF20" s="10">
        <v>0.13729451948603222</v>
      </c>
      <c r="AG20" s="10">
        <v>0.15608969598895889</v>
      </c>
      <c r="AH20" s="10">
        <v>0.163037646001296</v>
      </c>
      <c r="AI20" s="10">
        <v>8.6443458705820736E-2</v>
      </c>
      <c r="AJ20" s="10">
        <v>0.49060673664580357</v>
      </c>
      <c r="AK20" s="10">
        <v>0.50939326335419632</v>
      </c>
      <c r="AL20" s="10">
        <v>0</v>
      </c>
      <c r="AM20" s="6">
        <v>1</v>
      </c>
      <c r="AN20" s="8">
        <v>1</v>
      </c>
      <c r="AO20" s="8">
        <v>1</v>
      </c>
      <c r="AP20" s="8">
        <v>1</v>
      </c>
      <c r="AQ20" s="8">
        <v>1</v>
      </c>
      <c r="AR20" s="8">
        <v>0</v>
      </c>
      <c r="AS20" s="87">
        <v>5</v>
      </c>
      <c r="AT20" s="8">
        <v>1.1014956676410637</v>
      </c>
      <c r="AU20" s="8">
        <v>0.88963581940242586</v>
      </c>
      <c r="AV20" s="8">
        <v>0.83668471168961178</v>
      </c>
      <c r="AW20" s="8">
        <v>0.81987406365723126</v>
      </c>
      <c r="AX20" s="8">
        <v>0.93709497747165937</v>
      </c>
      <c r="AY20" s="8">
        <v>1.4552246472016579</v>
      </c>
      <c r="AZ20" s="8">
        <v>1.9599901129363508</v>
      </c>
      <c r="BA20" s="8">
        <v>0.98133494769385365</v>
      </c>
      <c r="BB20" s="8">
        <v>0.80581291812859768</v>
      </c>
      <c r="BC20" s="8">
        <v>0.73416628657085325</v>
      </c>
      <c r="BD20" s="8">
        <v>0.72110058142612354</v>
      </c>
      <c r="BE20" s="8">
        <v>0.99308735776782275</v>
      </c>
      <c r="BF20" s="8">
        <v>1.6443677636754479</v>
      </c>
      <c r="BG20" s="8">
        <v>2.1201301447373013</v>
      </c>
      <c r="BH20" s="8">
        <v>0.99939094147294183</v>
      </c>
      <c r="BI20" s="8">
        <v>0.77440908648775464</v>
      </c>
      <c r="BJ20" s="8">
        <v>0.69491027992440613</v>
      </c>
      <c r="BK20" s="8">
        <v>0.64511288696207114</v>
      </c>
      <c r="BL20" s="8">
        <v>0.78936804895881874</v>
      </c>
      <c r="BM20" s="8">
        <v>1.4346868889865885</v>
      </c>
      <c r="BN20" s="8">
        <v>1.6621218672074194</v>
      </c>
      <c r="BO20" s="8">
        <v>0.87990744844656243</v>
      </c>
      <c r="BP20" s="8">
        <v>0.70838109680628603</v>
      </c>
      <c r="BQ20" s="8">
        <v>0.65740312135575352</v>
      </c>
      <c r="BR20" s="8">
        <v>0.62742504812911615</v>
      </c>
      <c r="BS20" s="8">
        <v>0.82004872431975406</v>
      </c>
      <c r="BT20" s="8">
        <v>1.5251577105964262</v>
      </c>
      <c r="BU20" s="8">
        <v>1.7816768503461005</v>
      </c>
      <c r="BV20" s="8">
        <v>1.1016947985991348</v>
      </c>
      <c r="BW20" s="8">
        <v>0.89830520140086512</v>
      </c>
      <c r="BX20" s="8">
        <v>0</v>
      </c>
      <c r="BY20" s="8">
        <v>8</v>
      </c>
      <c r="BZ20" s="8">
        <v>8</v>
      </c>
      <c r="CA20" s="8">
        <v>7</v>
      </c>
      <c r="CB20" s="8">
        <v>7</v>
      </c>
      <c r="CC20" s="8">
        <v>2</v>
      </c>
      <c r="CD20" s="8">
        <v>0</v>
      </c>
      <c r="CE20" s="8">
        <v>32</v>
      </c>
      <c r="CF20" s="9">
        <v>2.0482154192029212</v>
      </c>
      <c r="CG20" s="9">
        <v>1.7247611604489164</v>
      </c>
      <c r="CH20" s="9">
        <v>1.6204189648147462</v>
      </c>
      <c r="CI20" s="9">
        <v>1.5848491389404311</v>
      </c>
      <c r="CJ20" s="9">
        <v>1.8036570724957413</v>
      </c>
      <c r="CK20" s="9">
        <v>2.6940741320920214</v>
      </c>
      <c r="CL20" s="9">
        <v>3.5240241120052231</v>
      </c>
      <c r="CM20" s="9">
        <v>1.8519049166791257</v>
      </c>
      <c r="CN20" s="9">
        <v>1.5672519093076631</v>
      </c>
      <c r="CO20" s="9">
        <v>1.42145761996579</v>
      </c>
      <c r="CP20" s="9">
        <v>1.4144381556276704</v>
      </c>
      <c r="CQ20" s="9">
        <v>1.8993488283526492</v>
      </c>
      <c r="CR20" s="9">
        <v>3.0478212628740722</v>
      </c>
      <c r="CS20" s="9">
        <v>3.7977773071930301</v>
      </c>
      <c r="CT20" s="9">
        <v>1.853205151586057</v>
      </c>
      <c r="CU20" s="9">
        <v>1.4916389269938519</v>
      </c>
      <c r="CV20" s="9">
        <v>1.3410016283411004</v>
      </c>
      <c r="CW20" s="9">
        <v>1.2522163304725662</v>
      </c>
      <c r="CX20" s="9">
        <v>1.5069500562553357</v>
      </c>
      <c r="CY20" s="9">
        <v>2.6204666125721672</v>
      </c>
      <c r="CZ20" s="9">
        <v>2.9345212937789222</v>
      </c>
      <c r="DA20" s="9">
        <v>1.6530338309525454</v>
      </c>
      <c r="DB20" s="9">
        <v>1.3736463974466504</v>
      </c>
      <c r="DC20" s="9">
        <v>1.2802115941762997</v>
      </c>
      <c r="DD20" s="9">
        <v>1.2128803162788029</v>
      </c>
      <c r="DE20" s="9">
        <v>1.5618875091085371</v>
      </c>
      <c r="DF20" s="9">
        <v>2.7775937213094553</v>
      </c>
      <c r="DG20" s="9">
        <v>3.1407466307277074</v>
      </c>
      <c r="DH20" s="9">
        <v>2.1431489345445058</v>
      </c>
      <c r="DI20" s="9">
        <v>1.8568510654554939</v>
      </c>
      <c r="DJ20" s="9"/>
      <c r="DK20" s="9">
        <v>15</v>
      </c>
      <c r="DL20" s="9">
        <v>15</v>
      </c>
      <c r="DM20" s="9">
        <v>13</v>
      </c>
      <c r="DN20" s="9">
        <v>13</v>
      </c>
      <c r="DO20" s="9">
        <v>4</v>
      </c>
      <c r="DP20" s="9"/>
      <c r="DQ20" s="9">
        <v>60</v>
      </c>
      <c r="DR20" s="8">
        <f>+SUM(Tabla2[[#This Row],[1 gral]:[1 gral]])</f>
        <v>2.0482154192029212</v>
      </c>
      <c r="DS20" s="8">
        <f>+SUM(Tabla2[[#This Row],[1 temm]:[1 temm]])</f>
        <v>1.1014956676410637</v>
      </c>
      <c r="DT20" s="8">
        <f>+SUM(Tabla2[[#This Row],[1 porta]:[1 porta]])</f>
        <v>0.12059800083105997</v>
      </c>
      <c r="DU20" s="8">
        <f>+Tabla2[[#This Row],[GRAL]]-(Tabla2[[#This Row],[TEMM14]]+Tabla2[[#This Row],[PORTA15]])</f>
        <v>0.82612175073079763</v>
      </c>
    </row>
    <row r="21" spans="1:125" hidden="1" x14ac:dyDescent="0.2">
      <c r="A21" s="84" t="s">
        <v>456</v>
      </c>
      <c r="B21" s="84" t="s">
        <v>483</v>
      </c>
      <c r="C21" s="11" t="s">
        <v>453</v>
      </c>
      <c r="D21" s="11">
        <v>2090875</v>
      </c>
      <c r="E21" s="11" t="s">
        <v>396</v>
      </c>
      <c r="F21" s="11" t="s">
        <v>463</v>
      </c>
      <c r="G21" s="43" t="s">
        <v>280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0.98121347329160713</v>
      </c>
      <c r="AK21" s="10">
        <v>1.0187865267083926</v>
      </c>
      <c r="AL21" s="10">
        <v>0</v>
      </c>
      <c r="AM21" s="6">
        <v>0</v>
      </c>
      <c r="AN21" s="8">
        <v>0</v>
      </c>
      <c r="AO21" s="8">
        <v>0</v>
      </c>
      <c r="AP21" s="8">
        <v>0</v>
      </c>
      <c r="AQ21" s="8">
        <v>2</v>
      </c>
      <c r="AR21" s="8">
        <v>0</v>
      </c>
      <c r="AS21" s="64">
        <v>2</v>
      </c>
      <c r="AT21" s="8">
        <v>2.2029913352821273</v>
      </c>
      <c r="AU21" s="8">
        <v>1.7792716388048517</v>
      </c>
      <c r="AV21" s="8">
        <v>1.6733694233792236</v>
      </c>
      <c r="AW21" s="8">
        <v>1.6397481273144625</v>
      </c>
      <c r="AX21" s="8">
        <v>1.8741899549433187</v>
      </c>
      <c r="AY21" s="8">
        <v>2.9104492944033158</v>
      </c>
      <c r="AZ21" s="8">
        <v>3.9199802258727017</v>
      </c>
      <c r="BA21" s="8">
        <v>1.9626698953877073</v>
      </c>
      <c r="BB21" s="8">
        <v>1.6116258362571954</v>
      </c>
      <c r="BC21" s="8">
        <v>1.4683325731417065</v>
      </c>
      <c r="BD21" s="8">
        <v>1.4422011628522471</v>
      </c>
      <c r="BE21" s="8">
        <v>1.9861747155356455</v>
      </c>
      <c r="BF21" s="8">
        <v>3.2887355273508958</v>
      </c>
      <c r="BG21" s="8">
        <v>4.2402602894746027</v>
      </c>
      <c r="BH21" s="8">
        <v>2.141552017442018</v>
      </c>
      <c r="BI21" s="8">
        <v>1.6594480424737599</v>
      </c>
      <c r="BJ21" s="8">
        <v>1.4890934569808703</v>
      </c>
      <c r="BK21" s="8">
        <v>1.3823847577758668</v>
      </c>
      <c r="BL21" s="8">
        <v>1.6915029620546116</v>
      </c>
      <c r="BM21" s="8">
        <v>3.0743290478284035</v>
      </c>
      <c r="BN21" s="8">
        <v>3.5616897154444702</v>
      </c>
      <c r="BO21" s="8">
        <v>1.7598148968931249</v>
      </c>
      <c r="BP21" s="8">
        <v>1.4167621936125721</v>
      </c>
      <c r="BQ21" s="8">
        <v>1.314806242711507</v>
      </c>
      <c r="BR21" s="8">
        <v>1.2548500962582323</v>
      </c>
      <c r="BS21" s="8">
        <v>1.6400974486395081</v>
      </c>
      <c r="BT21" s="8">
        <v>3.0503154211928525</v>
      </c>
      <c r="BU21" s="8">
        <v>3.5633537006922009</v>
      </c>
      <c r="BV21" s="8">
        <v>1.6525421978987023</v>
      </c>
      <c r="BW21" s="8">
        <v>1.3474578021012977</v>
      </c>
      <c r="BX21" s="8">
        <v>0</v>
      </c>
      <c r="BY21" s="8">
        <v>16</v>
      </c>
      <c r="BZ21" s="8">
        <v>16</v>
      </c>
      <c r="CA21" s="8">
        <v>15</v>
      </c>
      <c r="CB21" s="8">
        <v>14</v>
      </c>
      <c r="CC21" s="8">
        <v>3</v>
      </c>
      <c r="CD21" s="8">
        <v>0</v>
      </c>
      <c r="CE21" s="8">
        <v>64</v>
      </c>
      <c r="CF21" s="9">
        <v>3.442173961378324</v>
      </c>
      <c r="CG21" s="9">
        <v>2.780111935632581</v>
      </c>
      <c r="CH21" s="9">
        <v>2.6146397240300367</v>
      </c>
      <c r="CI21" s="9">
        <v>2.5621064489288479</v>
      </c>
      <c r="CJ21" s="9">
        <v>2.9284218045989356</v>
      </c>
      <c r="CK21" s="9">
        <v>4.5475770225051804</v>
      </c>
      <c r="CL21" s="9">
        <v>6.1249691029260962</v>
      </c>
      <c r="CM21" s="9">
        <v>3.0666717115432927</v>
      </c>
      <c r="CN21" s="9">
        <v>2.5181653691518679</v>
      </c>
      <c r="CO21" s="9">
        <v>2.2942696455339164</v>
      </c>
      <c r="CP21" s="9">
        <v>2.2534393169566362</v>
      </c>
      <c r="CQ21" s="9">
        <v>3.103397993024446</v>
      </c>
      <c r="CR21" s="9">
        <v>5.1386492614857744</v>
      </c>
      <c r="CS21" s="9">
        <v>6.6254067023040673</v>
      </c>
      <c r="CT21" s="9">
        <v>3.2837130934110945</v>
      </c>
      <c r="CU21" s="9">
        <v>2.5444869984597651</v>
      </c>
      <c r="CV21" s="9">
        <v>2.2832766340373345</v>
      </c>
      <c r="CW21" s="9">
        <v>2.1196566285896625</v>
      </c>
      <c r="CX21" s="9">
        <v>2.5936378751504043</v>
      </c>
      <c r="CY21" s="9">
        <v>4.7139712066702186</v>
      </c>
      <c r="CZ21" s="9">
        <v>5.4612575636815208</v>
      </c>
      <c r="DA21" s="9">
        <v>2.765423409403482</v>
      </c>
      <c r="DB21" s="9">
        <v>2.2263405899626134</v>
      </c>
      <c r="DC21" s="9">
        <v>2.0661240956895108</v>
      </c>
      <c r="DD21" s="9">
        <v>1.9719072941200793</v>
      </c>
      <c r="DE21" s="9">
        <v>2.577295990719227</v>
      </c>
      <c r="DF21" s="9">
        <v>4.7933528047316258</v>
      </c>
      <c r="DG21" s="9">
        <v>5.5995558153734581</v>
      </c>
      <c r="DH21" s="9">
        <v>4.2862978690890117</v>
      </c>
      <c r="DI21" s="9">
        <v>3.7137021309109883</v>
      </c>
      <c r="DJ21" s="9"/>
      <c r="DK21" s="9">
        <v>25</v>
      </c>
      <c r="DL21" s="9">
        <v>25</v>
      </c>
      <c r="DM21" s="9">
        <v>23</v>
      </c>
      <c r="DN21" s="9">
        <v>22</v>
      </c>
      <c r="DO21" s="9">
        <v>8</v>
      </c>
      <c r="DP21" s="9"/>
      <c r="DQ21" s="9">
        <v>103</v>
      </c>
      <c r="DR21" s="8">
        <f>+SUM(Tabla2[[#This Row],[1 gral]:[1 gral]])</f>
        <v>3.442173961378324</v>
      </c>
      <c r="DS21" s="8">
        <f>+SUM(Tabla2[[#This Row],[1 temm]:[1 temm]])</f>
        <v>2.2029913352821273</v>
      </c>
      <c r="DT21" s="8">
        <f>+SUM(Tabla2[[#This Row],[1 porta]:[1 porta]])</f>
        <v>0</v>
      </c>
      <c r="DU21" s="8">
        <f>+Tabla2[[#This Row],[GRAL]]-(Tabla2[[#This Row],[TEMM14]]+Tabla2[[#This Row],[PORTA15]])</f>
        <v>1.2391826260961967</v>
      </c>
    </row>
    <row r="22" spans="1:125" hidden="1" x14ac:dyDescent="0.2">
      <c r="A22" s="84" t="s">
        <v>455</v>
      </c>
      <c r="B22" s="84" t="s">
        <v>483</v>
      </c>
      <c r="C22" s="11" t="s">
        <v>451</v>
      </c>
      <c r="D22" s="11">
        <v>2090892</v>
      </c>
      <c r="E22" s="11" t="s">
        <v>397</v>
      </c>
      <c r="F22" s="11" t="s">
        <v>460</v>
      </c>
      <c r="G22" s="43" t="s">
        <v>280</v>
      </c>
      <c r="H22" s="10">
        <v>0.12059800083105997</v>
      </c>
      <c r="I22" s="10">
        <v>0.16789847649467127</v>
      </c>
      <c r="J22" s="10">
        <v>0.1562207193579257</v>
      </c>
      <c r="K22" s="10">
        <v>0.15006952754027642</v>
      </c>
      <c r="L22" s="10">
        <v>0.16374086192033718</v>
      </c>
      <c r="M22" s="10">
        <v>0.14743099948912008</v>
      </c>
      <c r="N22" s="10">
        <v>9.4041414366609274E-2</v>
      </c>
      <c r="O22" s="10">
        <v>0.13456875821488182</v>
      </c>
      <c r="P22" s="10">
        <v>0.15707930258261715</v>
      </c>
      <c r="Q22" s="10">
        <v>0.1366666184667969</v>
      </c>
      <c r="R22" s="10">
        <v>0.15251213813195408</v>
      </c>
      <c r="S22" s="10">
        <v>0.16144595225895933</v>
      </c>
      <c r="T22" s="10">
        <v>0.17017767644203829</v>
      </c>
      <c r="U22" s="10">
        <v>8.7549553902752458E-2</v>
      </c>
      <c r="V22" s="10">
        <v>0.13996353763244257</v>
      </c>
      <c r="W22" s="10">
        <v>0.16408049301484401</v>
      </c>
      <c r="X22" s="10">
        <v>0.14972686275640418</v>
      </c>
      <c r="Y22" s="10">
        <v>0.1463085242518728</v>
      </c>
      <c r="Z22" s="10">
        <v>0.15374768661164634</v>
      </c>
      <c r="AA22" s="10">
        <v>0.16100337430944414</v>
      </c>
      <c r="AB22" s="10">
        <v>8.5169521423346065E-2</v>
      </c>
      <c r="AC22" s="10">
        <v>0.14462106218700971</v>
      </c>
      <c r="AD22" s="10">
        <v>0.15927880292158872</v>
      </c>
      <c r="AE22" s="10">
        <v>0.15323481470929368</v>
      </c>
      <c r="AF22" s="10">
        <v>0.13729451948603222</v>
      </c>
      <c r="AG22" s="10">
        <v>0.15608969598895889</v>
      </c>
      <c r="AH22" s="10">
        <v>0.163037646001296</v>
      </c>
      <c r="AI22" s="10">
        <v>8.6443458705820736E-2</v>
      </c>
      <c r="AJ22" s="10">
        <v>0</v>
      </c>
      <c r="AK22" s="10">
        <v>0</v>
      </c>
      <c r="AL22" s="10">
        <v>0</v>
      </c>
      <c r="AM22" s="6">
        <v>1</v>
      </c>
      <c r="AN22" s="8">
        <v>1</v>
      </c>
      <c r="AO22" s="8">
        <v>1</v>
      </c>
      <c r="AP22" s="8">
        <v>1</v>
      </c>
      <c r="AQ22" s="8">
        <v>0</v>
      </c>
      <c r="AR22" s="8">
        <v>0</v>
      </c>
      <c r="AS22" s="64">
        <v>4</v>
      </c>
      <c r="AT22" s="8">
        <v>1.1014956676410637</v>
      </c>
      <c r="AU22" s="8">
        <v>0.88963581940242586</v>
      </c>
      <c r="AV22" s="8">
        <v>0.83668471168961178</v>
      </c>
      <c r="AW22" s="8">
        <v>0.81987406365723126</v>
      </c>
      <c r="AX22" s="8">
        <v>0.93709497747165937</v>
      </c>
      <c r="AY22" s="8">
        <v>1.4552246472016579</v>
      </c>
      <c r="AZ22" s="8">
        <v>1.9599901129363508</v>
      </c>
      <c r="BA22" s="8">
        <v>0.98133494769385365</v>
      </c>
      <c r="BB22" s="8">
        <v>0.80581291812859768</v>
      </c>
      <c r="BC22" s="8">
        <v>0.73416628657085325</v>
      </c>
      <c r="BD22" s="8">
        <v>0.72110058142612354</v>
      </c>
      <c r="BE22" s="8">
        <v>0.99308735776782275</v>
      </c>
      <c r="BF22" s="8">
        <v>1.6443677636754479</v>
      </c>
      <c r="BG22" s="8">
        <v>2.1201301447373013</v>
      </c>
      <c r="BH22" s="8">
        <v>0.99939094147294183</v>
      </c>
      <c r="BI22" s="8">
        <v>0.77440908648775464</v>
      </c>
      <c r="BJ22" s="8">
        <v>0.69491027992440613</v>
      </c>
      <c r="BK22" s="8">
        <v>0.64511288696207114</v>
      </c>
      <c r="BL22" s="8">
        <v>0.78936804895881874</v>
      </c>
      <c r="BM22" s="8">
        <v>1.4346868889865885</v>
      </c>
      <c r="BN22" s="8">
        <v>1.6621218672074194</v>
      </c>
      <c r="BO22" s="8">
        <v>0.87990744844656243</v>
      </c>
      <c r="BP22" s="8">
        <v>0.70838109680628603</v>
      </c>
      <c r="BQ22" s="8">
        <v>0.65740312135575352</v>
      </c>
      <c r="BR22" s="8">
        <v>0.62742504812911615</v>
      </c>
      <c r="BS22" s="8">
        <v>0.82004872431975406</v>
      </c>
      <c r="BT22" s="8">
        <v>1.5251577105964262</v>
      </c>
      <c r="BU22" s="8">
        <v>1.7816768503461005</v>
      </c>
      <c r="BV22" s="8">
        <v>0.55084739929956739</v>
      </c>
      <c r="BW22" s="8">
        <v>0.44915260070043256</v>
      </c>
      <c r="BX22" s="8">
        <v>0</v>
      </c>
      <c r="BY22" s="8">
        <v>8</v>
      </c>
      <c r="BZ22" s="8">
        <v>8</v>
      </c>
      <c r="CA22" s="8">
        <v>7</v>
      </c>
      <c r="CB22" s="8">
        <v>7</v>
      </c>
      <c r="CC22" s="8">
        <v>1</v>
      </c>
      <c r="CD22" s="8">
        <v>0</v>
      </c>
      <c r="CE22" s="8">
        <v>31</v>
      </c>
      <c r="CF22" s="9">
        <v>1.9105284607477884</v>
      </c>
      <c r="CG22" s="9">
        <v>1.6135566830236132</v>
      </c>
      <c r="CH22" s="9">
        <v>1.5158333758535449</v>
      </c>
      <c r="CI22" s="9">
        <v>1.482364880983277</v>
      </c>
      <c r="CJ22" s="9">
        <v>1.6865202003117838</v>
      </c>
      <c r="CK22" s="9">
        <v>2.5121710511918143</v>
      </c>
      <c r="CL22" s="9">
        <v>3.2790253478881795</v>
      </c>
      <c r="CM22" s="9">
        <v>1.7292380482173941</v>
      </c>
      <c r="CN22" s="9">
        <v>1.4665252945415883</v>
      </c>
      <c r="CO22" s="9">
        <v>1.3296868341444334</v>
      </c>
      <c r="CP22" s="9">
        <v>1.3243005829494048</v>
      </c>
      <c r="CQ22" s="9">
        <v>1.7752129086316712</v>
      </c>
      <c r="CR22" s="9">
        <v>2.8422752924146413</v>
      </c>
      <c r="CS22" s="9">
        <v>3.5327610391008673</v>
      </c>
      <c r="CT22" s="9">
        <v>1.853205151586057</v>
      </c>
      <c r="CU22" s="9">
        <v>1.4916389269938519</v>
      </c>
      <c r="CV22" s="9">
        <v>1.3410016283411004</v>
      </c>
      <c r="CW22" s="9">
        <v>1.2522163304725662</v>
      </c>
      <c r="CX22" s="9">
        <v>1.5069500562553357</v>
      </c>
      <c r="CY22" s="9">
        <v>2.6204666125721672</v>
      </c>
      <c r="CZ22" s="9">
        <v>2.9345212937789222</v>
      </c>
      <c r="DA22" s="9">
        <v>1.6530338309525454</v>
      </c>
      <c r="DB22" s="9">
        <v>1.3736463974466504</v>
      </c>
      <c r="DC22" s="9">
        <v>1.2802115941762997</v>
      </c>
      <c r="DD22" s="9">
        <v>1.2128803162788029</v>
      </c>
      <c r="DE22" s="9">
        <v>1.5618875091085371</v>
      </c>
      <c r="DF22" s="9">
        <v>2.7775937213094553</v>
      </c>
      <c r="DG22" s="9">
        <v>3.1407466307277074</v>
      </c>
      <c r="DH22" s="9">
        <v>0.55084739929956739</v>
      </c>
      <c r="DI22" s="9">
        <v>0.44915260070043256</v>
      </c>
      <c r="DJ22" s="9"/>
      <c r="DK22" s="9">
        <v>14</v>
      </c>
      <c r="DL22" s="9">
        <v>14</v>
      </c>
      <c r="DM22" s="9">
        <v>13</v>
      </c>
      <c r="DN22" s="9">
        <v>13</v>
      </c>
      <c r="DO22" s="9">
        <v>1</v>
      </c>
      <c r="DP22" s="9"/>
      <c r="DQ22" s="9">
        <v>55</v>
      </c>
      <c r="DR22" s="8">
        <f>+SUM(Tabla2[[#This Row],[1 gral]:[1 gral]])</f>
        <v>1.9105284607477884</v>
      </c>
      <c r="DS22" s="8">
        <f>+SUM(Tabla2[[#This Row],[1 temm]:[1 temm]])</f>
        <v>1.1014956676410637</v>
      </c>
      <c r="DT22" s="8">
        <f>+SUM(Tabla2[[#This Row],[1 porta]:[1 porta]])</f>
        <v>0.12059800083105997</v>
      </c>
      <c r="DU22" s="8">
        <f>+Tabla2[[#This Row],[GRAL]]-(Tabla2[[#This Row],[TEMM14]]+Tabla2[[#This Row],[PORTA15]])</f>
        <v>0.68843479227566484</v>
      </c>
    </row>
    <row r="23" spans="1:125" hidden="1" x14ac:dyDescent="0.2">
      <c r="A23" s="84" t="s">
        <v>455</v>
      </c>
      <c r="B23" s="84" t="s">
        <v>483</v>
      </c>
      <c r="C23" s="11" t="s">
        <v>451</v>
      </c>
      <c r="D23" s="11">
        <v>2090893</v>
      </c>
      <c r="E23" s="11" t="s">
        <v>398</v>
      </c>
      <c r="F23" s="11" t="s">
        <v>460</v>
      </c>
      <c r="G23" s="43" t="s">
        <v>280</v>
      </c>
      <c r="H23" s="10">
        <v>0.12059800083105997</v>
      </c>
      <c r="I23" s="10">
        <v>0.16789847649467127</v>
      </c>
      <c r="J23" s="10">
        <v>0.1562207193579257</v>
      </c>
      <c r="K23" s="10">
        <v>0.15006952754027642</v>
      </c>
      <c r="L23" s="10">
        <v>0.16374086192033718</v>
      </c>
      <c r="M23" s="10">
        <v>0.14743099948912008</v>
      </c>
      <c r="N23" s="10">
        <v>9.4041414366609274E-2</v>
      </c>
      <c r="O23" s="10">
        <v>0.13456875821488182</v>
      </c>
      <c r="P23" s="10">
        <v>0.15707930258261715</v>
      </c>
      <c r="Q23" s="10">
        <v>0.1366666184667969</v>
      </c>
      <c r="R23" s="10">
        <v>0.15251213813195408</v>
      </c>
      <c r="S23" s="10">
        <v>0.16144595225895933</v>
      </c>
      <c r="T23" s="10">
        <v>0.17017767644203829</v>
      </c>
      <c r="U23" s="10">
        <v>8.7549553902752458E-2</v>
      </c>
      <c r="V23" s="10">
        <v>0.13996353763244257</v>
      </c>
      <c r="W23" s="10">
        <v>0.16408049301484401</v>
      </c>
      <c r="X23" s="10">
        <v>0.14972686275640418</v>
      </c>
      <c r="Y23" s="10">
        <v>0.1463085242518728</v>
      </c>
      <c r="Z23" s="10">
        <v>0.15374768661164634</v>
      </c>
      <c r="AA23" s="10">
        <v>0.16100337430944414</v>
      </c>
      <c r="AB23" s="10">
        <v>8.5169521423346065E-2</v>
      </c>
      <c r="AC23" s="10">
        <v>0.14462106218700971</v>
      </c>
      <c r="AD23" s="10">
        <v>0.15927880292158872</v>
      </c>
      <c r="AE23" s="10">
        <v>0.15323481470929368</v>
      </c>
      <c r="AF23" s="10">
        <v>0.13729451948603222</v>
      </c>
      <c r="AG23" s="10">
        <v>0.15608969598895889</v>
      </c>
      <c r="AH23" s="10">
        <v>0.163037646001296</v>
      </c>
      <c r="AI23" s="10">
        <v>8.6443458705820736E-2</v>
      </c>
      <c r="AJ23" s="10">
        <v>0</v>
      </c>
      <c r="AK23" s="10">
        <v>0</v>
      </c>
      <c r="AL23" s="10">
        <v>0</v>
      </c>
      <c r="AM23" s="6">
        <v>1</v>
      </c>
      <c r="AN23" s="8">
        <v>1</v>
      </c>
      <c r="AO23" s="8">
        <v>1</v>
      </c>
      <c r="AP23" s="8">
        <v>1</v>
      </c>
      <c r="AQ23" s="8">
        <v>0</v>
      </c>
      <c r="AR23" s="8">
        <v>0</v>
      </c>
      <c r="AS23" s="64">
        <v>4</v>
      </c>
      <c r="AT23" s="8">
        <v>1.1014956676410637</v>
      </c>
      <c r="AU23" s="8">
        <v>0.88963581940242586</v>
      </c>
      <c r="AV23" s="8">
        <v>0.83668471168961178</v>
      </c>
      <c r="AW23" s="8">
        <v>0.81987406365723126</v>
      </c>
      <c r="AX23" s="8">
        <v>0.93709497747165937</v>
      </c>
      <c r="AY23" s="8">
        <v>1.4552246472016579</v>
      </c>
      <c r="AZ23" s="8">
        <v>1.9599901129363508</v>
      </c>
      <c r="BA23" s="8">
        <v>0.98133494769385365</v>
      </c>
      <c r="BB23" s="8">
        <v>0.80581291812859768</v>
      </c>
      <c r="BC23" s="8">
        <v>0.73416628657085325</v>
      </c>
      <c r="BD23" s="8">
        <v>0.72110058142612354</v>
      </c>
      <c r="BE23" s="8">
        <v>0.99308735776782275</v>
      </c>
      <c r="BF23" s="8">
        <v>1.6443677636754479</v>
      </c>
      <c r="BG23" s="8">
        <v>2.1201301447373013</v>
      </c>
      <c r="BH23" s="8">
        <v>0.99939094147294183</v>
      </c>
      <c r="BI23" s="8">
        <v>0.77440908648775464</v>
      </c>
      <c r="BJ23" s="8">
        <v>0.69491027992440613</v>
      </c>
      <c r="BK23" s="8">
        <v>0.64511288696207114</v>
      </c>
      <c r="BL23" s="8">
        <v>0.78936804895881874</v>
      </c>
      <c r="BM23" s="8">
        <v>1.4346868889865885</v>
      </c>
      <c r="BN23" s="8">
        <v>1.6621218672074194</v>
      </c>
      <c r="BO23" s="8">
        <v>0.87990744844656243</v>
      </c>
      <c r="BP23" s="8">
        <v>0.70838109680628603</v>
      </c>
      <c r="BQ23" s="8">
        <v>0.65740312135575352</v>
      </c>
      <c r="BR23" s="8">
        <v>0.62742504812911615</v>
      </c>
      <c r="BS23" s="8">
        <v>0.82004872431975406</v>
      </c>
      <c r="BT23" s="8">
        <v>1.5251577105964262</v>
      </c>
      <c r="BU23" s="8">
        <v>1.7816768503461005</v>
      </c>
      <c r="BV23" s="8">
        <v>0.55084739929956739</v>
      </c>
      <c r="BW23" s="8">
        <v>0.44915260070043256</v>
      </c>
      <c r="BX23" s="8">
        <v>0</v>
      </c>
      <c r="BY23" s="8">
        <v>8</v>
      </c>
      <c r="BZ23" s="8">
        <v>8</v>
      </c>
      <c r="CA23" s="8">
        <v>7</v>
      </c>
      <c r="CB23" s="8">
        <v>7</v>
      </c>
      <c r="CC23" s="8">
        <v>1</v>
      </c>
      <c r="CD23" s="8">
        <v>0</v>
      </c>
      <c r="CE23" s="8">
        <v>31</v>
      </c>
      <c r="CF23" s="9">
        <v>1.9105284607477884</v>
      </c>
      <c r="CG23" s="9">
        <v>1.6135566830236132</v>
      </c>
      <c r="CH23" s="9">
        <v>1.5158333758535449</v>
      </c>
      <c r="CI23" s="9">
        <v>1.482364880983277</v>
      </c>
      <c r="CJ23" s="9">
        <v>1.6865202003117838</v>
      </c>
      <c r="CK23" s="9">
        <v>2.5121710511918143</v>
      </c>
      <c r="CL23" s="9">
        <v>3.2790253478881795</v>
      </c>
      <c r="CM23" s="9">
        <v>1.7292380482173941</v>
      </c>
      <c r="CN23" s="9">
        <v>1.4665252945415883</v>
      </c>
      <c r="CO23" s="9">
        <v>1.3296868341444334</v>
      </c>
      <c r="CP23" s="9">
        <v>1.3243005829494048</v>
      </c>
      <c r="CQ23" s="9">
        <v>1.7752129086316712</v>
      </c>
      <c r="CR23" s="9">
        <v>2.8422752924146413</v>
      </c>
      <c r="CS23" s="9">
        <v>3.5327610391008673</v>
      </c>
      <c r="CT23" s="9">
        <v>1.7104350170899227</v>
      </c>
      <c r="CU23" s="9">
        <v>1.3810090574956013</v>
      </c>
      <c r="CV23" s="9">
        <v>1.2417287312090424</v>
      </c>
      <c r="CW23" s="9">
        <v>1.1600573466208417</v>
      </c>
      <c r="CX23" s="9">
        <v>1.3941831921183616</v>
      </c>
      <c r="CY23" s="9">
        <v>2.4155113427169401</v>
      </c>
      <c r="CZ23" s="9">
        <v>2.6970753127492908</v>
      </c>
      <c r="DA23" s="9">
        <v>1.5273327668887506</v>
      </c>
      <c r="DB23" s="9">
        <v>1.2724490979028953</v>
      </c>
      <c r="DC23" s="9">
        <v>1.1862968625540491</v>
      </c>
      <c r="DD23" s="9">
        <v>1.1232481665460718</v>
      </c>
      <c r="DE23" s="9">
        <v>1.4447376913485723</v>
      </c>
      <c r="DF23" s="9">
        <v>2.559714048367109</v>
      </c>
      <c r="DG23" s="9">
        <v>2.88622136639255</v>
      </c>
      <c r="DH23" s="9">
        <v>1.1016947985991348</v>
      </c>
      <c r="DI23" s="9">
        <v>0.89830520140086512</v>
      </c>
      <c r="DJ23" s="9"/>
      <c r="DK23" s="9">
        <v>14</v>
      </c>
      <c r="DL23" s="9">
        <v>14</v>
      </c>
      <c r="DM23" s="9">
        <v>12</v>
      </c>
      <c r="DN23" s="9">
        <v>12</v>
      </c>
      <c r="DO23" s="9">
        <v>2</v>
      </c>
      <c r="DP23" s="9"/>
      <c r="DQ23" s="9">
        <v>54</v>
      </c>
      <c r="DR23" s="8">
        <f>+SUM(Tabla2[[#This Row],[1 gral]:[1 gral]])</f>
        <v>1.9105284607477884</v>
      </c>
      <c r="DS23" s="8">
        <f>+SUM(Tabla2[[#This Row],[1 temm]:[1 temm]])</f>
        <v>1.1014956676410637</v>
      </c>
      <c r="DT23" s="8">
        <f>+SUM(Tabla2[[#This Row],[1 porta]:[1 porta]])</f>
        <v>0.12059800083105997</v>
      </c>
      <c r="DU23" s="8">
        <f>+Tabla2[[#This Row],[GRAL]]-(Tabla2[[#This Row],[TEMM14]]+Tabla2[[#This Row],[PORTA15]])</f>
        <v>0.68843479227566484</v>
      </c>
    </row>
    <row r="24" spans="1:125" x14ac:dyDescent="0.2">
      <c r="A24" s="84" t="s">
        <v>99</v>
      </c>
      <c r="B24" s="84" t="s">
        <v>482</v>
      </c>
      <c r="C24" s="11" t="s">
        <v>127</v>
      </c>
      <c r="D24" s="11">
        <v>2090912</v>
      </c>
      <c r="E24" s="11" t="s">
        <v>25</v>
      </c>
      <c r="F24" s="11" t="s">
        <v>309</v>
      </c>
      <c r="G24" s="43" t="s">
        <v>280</v>
      </c>
      <c r="H24" s="10">
        <v>0.24119600166211994</v>
      </c>
      <c r="I24" s="10">
        <v>0.33579695298934253</v>
      </c>
      <c r="J24" s="10">
        <v>0.31244143871585139</v>
      </c>
      <c r="K24" s="10">
        <v>0.30013905508055283</v>
      </c>
      <c r="L24" s="10">
        <v>0.32748172384067437</v>
      </c>
      <c r="M24" s="10">
        <v>0.29486199897824017</v>
      </c>
      <c r="N24" s="10">
        <v>0.18808282873321855</v>
      </c>
      <c r="O24" s="10">
        <v>0.26913751642976363</v>
      </c>
      <c r="P24" s="10">
        <v>0.31415860516523431</v>
      </c>
      <c r="Q24" s="10">
        <v>0.27333323693359379</v>
      </c>
      <c r="R24" s="10">
        <v>0.30502427626390816</v>
      </c>
      <c r="S24" s="10">
        <v>0.32289190451791866</v>
      </c>
      <c r="T24" s="10">
        <v>0.34035535288407659</v>
      </c>
      <c r="U24" s="10">
        <v>0.17509910780550492</v>
      </c>
      <c r="V24" s="10">
        <v>0.27992707526488514</v>
      </c>
      <c r="W24" s="10">
        <v>0.32816098602968802</v>
      </c>
      <c r="X24" s="10">
        <v>0.29945372551280836</v>
      </c>
      <c r="Y24" s="10">
        <v>0.29261704850374559</v>
      </c>
      <c r="Z24" s="10">
        <v>0.30749537322329268</v>
      </c>
      <c r="AA24" s="10">
        <v>0.32200674861888828</v>
      </c>
      <c r="AB24" s="10">
        <v>0.17033904284669213</v>
      </c>
      <c r="AC24" s="10">
        <v>0.28924212437401942</v>
      </c>
      <c r="AD24" s="10">
        <v>0.31855760584317744</v>
      </c>
      <c r="AE24" s="10">
        <v>0.30646962941858735</v>
      </c>
      <c r="AF24" s="10">
        <v>0.27458903897206444</v>
      </c>
      <c r="AG24" s="10">
        <v>0.31217939197791778</v>
      </c>
      <c r="AH24" s="10">
        <v>0.326075292002592</v>
      </c>
      <c r="AI24" s="10">
        <v>0.17288691741164147</v>
      </c>
      <c r="AJ24" s="10">
        <v>0.98121347329160713</v>
      </c>
      <c r="AK24" s="10">
        <v>1.0187865267083926</v>
      </c>
      <c r="AL24" s="10">
        <v>0</v>
      </c>
      <c r="AM24" s="6">
        <v>2</v>
      </c>
      <c r="AN24" s="8">
        <v>2</v>
      </c>
      <c r="AO24" s="8">
        <v>2</v>
      </c>
      <c r="AP24" s="8">
        <v>2</v>
      </c>
      <c r="AQ24" s="8">
        <v>2</v>
      </c>
      <c r="AR24" s="8">
        <v>0</v>
      </c>
      <c r="AS24" s="64">
        <v>10</v>
      </c>
      <c r="AT24" s="8">
        <v>1.3768695845513297</v>
      </c>
      <c r="AU24" s="8">
        <v>1.1120447742530324</v>
      </c>
      <c r="AV24" s="8">
        <v>1.0458558896120147</v>
      </c>
      <c r="AW24" s="8">
        <v>1.024842579571539</v>
      </c>
      <c r="AX24" s="8">
        <v>1.1713687218395743</v>
      </c>
      <c r="AY24" s="8">
        <v>1.8190308090020724</v>
      </c>
      <c r="AZ24" s="8">
        <v>2.4499876411704387</v>
      </c>
      <c r="BA24" s="8">
        <v>1.2266686846173172</v>
      </c>
      <c r="BB24" s="8">
        <v>1.0072661476607472</v>
      </c>
      <c r="BC24" s="8">
        <v>0.9177078582135666</v>
      </c>
      <c r="BD24" s="8">
        <v>0.90137572678265443</v>
      </c>
      <c r="BE24" s="8">
        <v>1.2413591972097784</v>
      </c>
      <c r="BF24" s="8">
        <v>2.0554597045943099</v>
      </c>
      <c r="BG24" s="8">
        <v>2.6501626809216265</v>
      </c>
      <c r="BH24" s="8">
        <v>1.2849312104652109</v>
      </c>
      <c r="BI24" s="8">
        <v>0.99566882548425584</v>
      </c>
      <c r="BJ24" s="8">
        <v>0.89345607418852213</v>
      </c>
      <c r="BK24" s="8">
        <v>0.82943085466552013</v>
      </c>
      <c r="BL24" s="8">
        <v>1.0149017772327669</v>
      </c>
      <c r="BM24" s="8">
        <v>1.8445974286970421</v>
      </c>
      <c r="BN24" s="8">
        <v>2.137013829266682</v>
      </c>
      <c r="BO24" s="8">
        <v>1.1313095765741517</v>
      </c>
      <c r="BP24" s="8">
        <v>0.91077569589379626</v>
      </c>
      <c r="BQ24" s="8">
        <v>0.84523258460025452</v>
      </c>
      <c r="BR24" s="8">
        <v>0.806689347594578</v>
      </c>
      <c r="BS24" s="8">
        <v>1.0543483598396837</v>
      </c>
      <c r="BT24" s="8">
        <v>1.9609170564811196</v>
      </c>
      <c r="BU24" s="8">
        <v>2.2907273790164151</v>
      </c>
      <c r="BV24" s="8">
        <v>1.1016947985991348</v>
      </c>
      <c r="BW24" s="8">
        <v>0.89830520140086512</v>
      </c>
      <c r="BX24" s="8">
        <v>0</v>
      </c>
      <c r="BY24" s="8">
        <v>10</v>
      </c>
      <c r="BZ24" s="8">
        <v>10</v>
      </c>
      <c r="CA24" s="8">
        <v>9</v>
      </c>
      <c r="CB24" s="8">
        <v>9</v>
      </c>
      <c r="CC24" s="8">
        <v>2</v>
      </c>
      <c r="CD24" s="8">
        <v>0</v>
      </c>
      <c r="CE24" s="8">
        <v>40</v>
      </c>
      <c r="CF24" s="9">
        <v>3.2703090876750451</v>
      </c>
      <c r="CG24" s="9">
        <v>2.7822954563460138</v>
      </c>
      <c r="CH24" s="9">
        <v>2.6133243958622838</v>
      </c>
      <c r="CI24" s="9">
        <v>2.5547927301379389</v>
      </c>
      <c r="CJ24" s="9">
        <v>2.9044929118877381</v>
      </c>
      <c r="CK24" s="9">
        <v>4.2967297787827992</v>
      </c>
      <c r="CL24" s="9">
        <v>5.5780556393081833</v>
      </c>
      <c r="CM24" s="9">
        <v>2.967808622587861</v>
      </c>
      <c r="CN24" s="9">
        <v>2.5301441300188783</v>
      </c>
      <c r="CO24" s="9">
        <v>2.2922905250034402</v>
      </c>
      <c r="CP24" s="9">
        <v>2.288050875185748</v>
      </c>
      <c r="CQ24" s="9">
        <v>3.0538821383794312</v>
      </c>
      <c r="CR24" s="9">
        <v>4.862366702991558</v>
      </c>
      <c r="CS24" s="9">
        <v>6.0054570058330832</v>
      </c>
      <c r="CT24" s="9">
        <v>3.135329765187576</v>
      </c>
      <c r="CU24" s="9">
        <v>2.5407583759947014</v>
      </c>
      <c r="CV24" s="9">
        <v>2.2849116681539687</v>
      </c>
      <c r="CW24" s="9">
        <v>2.1357967255382349</v>
      </c>
      <c r="CX24" s="9">
        <v>2.562832655962775</v>
      </c>
      <c r="CY24" s="9">
        <v>4.421112145723427</v>
      </c>
      <c r="CZ24" s="9">
        <v>4.9192586634393187</v>
      </c>
      <c r="DA24" s="9">
        <v>2.8032634056499122</v>
      </c>
      <c r="DB24" s="9">
        <v>2.3425035967182799</v>
      </c>
      <c r="DC24" s="9">
        <v>2.1847642618635974</v>
      </c>
      <c r="DD24" s="9">
        <v>2.0672320336266821</v>
      </c>
      <c r="DE24" s="9">
        <v>2.6551757471772151</v>
      </c>
      <c r="DF24" s="9">
        <v>4.6836687508495247</v>
      </c>
      <c r="DG24" s="9">
        <v>5.2633922041147851</v>
      </c>
      <c r="DH24" s="9">
        <v>4.2862978690890117</v>
      </c>
      <c r="DI24" s="9">
        <v>3.7137021309109883</v>
      </c>
      <c r="DJ24" s="9"/>
      <c r="DK24" s="9">
        <v>24</v>
      </c>
      <c r="DL24" s="9">
        <v>24</v>
      </c>
      <c r="DM24" s="9">
        <v>22</v>
      </c>
      <c r="DN24" s="9">
        <v>22</v>
      </c>
      <c r="DO24" s="9">
        <v>8</v>
      </c>
      <c r="DP24" s="9"/>
      <c r="DQ24" s="9">
        <v>100</v>
      </c>
      <c r="DR24" s="8">
        <f>+SUM(Tabla2[[#This Row],[1 gral]:[1 gral]])</f>
        <v>3.2703090876750451</v>
      </c>
      <c r="DS24" s="8">
        <f>+SUM(Tabla2[[#This Row],[1 temm]:[1 temm]])</f>
        <v>1.3768695845513297</v>
      </c>
      <c r="DT24" s="8">
        <f>+SUM(Tabla2[[#This Row],[1 porta]:[1 porta]])</f>
        <v>0.24119600166211994</v>
      </c>
      <c r="DU24" s="8">
        <f>+Tabla2[[#This Row],[GRAL]]-(Tabla2[[#This Row],[TEMM14]]+Tabla2[[#This Row],[PORTA15]])</f>
        <v>1.6522435014615955</v>
      </c>
    </row>
    <row r="25" spans="1:125" x14ac:dyDescent="0.2">
      <c r="A25" s="84" t="s">
        <v>99</v>
      </c>
      <c r="B25" s="84" t="s">
        <v>482</v>
      </c>
      <c r="C25" s="11" t="s">
        <v>125</v>
      </c>
      <c r="D25" s="11">
        <v>2090913</v>
      </c>
      <c r="E25" s="11" t="s">
        <v>26</v>
      </c>
      <c r="F25" s="11" t="s">
        <v>308</v>
      </c>
      <c r="G25" s="43" t="s">
        <v>280</v>
      </c>
      <c r="H25" s="10">
        <v>0.24119600166211994</v>
      </c>
      <c r="I25" s="10">
        <v>0.33579695298934253</v>
      </c>
      <c r="J25" s="10">
        <v>0.31244143871585139</v>
      </c>
      <c r="K25" s="10">
        <v>0.30013905508055283</v>
      </c>
      <c r="L25" s="10">
        <v>0.32748172384067437</v>
      </c>
      <c r="M25" s="10">
        <v>0.29486199897824017</v>
      </c>
      <c r="N25" s="10">
        <v>0.18808282873321855</v>
      </c>
      <c r="O25" s="10">
        <v>0.26913751642976363</v>
      </c>
      <c r="P25" s="10">
        <v>0.31415860516523431</v>
      </c>
      <c r="Q25" s="10">
        <v>0.27333323693359379</v>
      </c>
      <c r="R25" s="10">
        <v>0.30502427626390816</v>
      </c>
      <c r="S25" s="10">
        <v>0.32289190451791866</v>
      </c>
      <c r="T25" s="10">
        <v>0.34035535288407659</v>
      </c>
      <c r="U25" s="10">
        <v>0.17509910780550492</v>
      </c>
      <c r="V25" s="10">
        <v>0.27992707526488514</v>
      </c>
      <c r="W25" s="10">
        <v>0.32816098602968802</v>
      </c>
      <c r="X25" s="10">
        <v>0.29945372551280836</v>
      </c>
      <c r="Y25" s="10">
        <v>0.29261704850374559</v>
      </c>
      <c r="Z25" s="10">
        <v>0.30749537322329268</v>
      </c>
      <c r="AA25" s="10">
        <v>0.32200674861888828</v>
      </c>
      <c r="AB25" s="10">
        <v>0.17033904284669213</v>
      </c>
      <c r="AC25" s="10">
        <v>0.28924212437401942</v>
      </c>
      <c r="AD25" s="10">
        <v>0.31855760584317744</v>
      </c>
      <c r="AE25" s="10">
        <v>0.30646962941858735</v>
      </c>
      <c r="AF25" s="10">
        <v>0.27458903897206444</v>
      </c>
      <c r="AG25" s="10">
        <v>0.31217939197791778</v>
      </c>
      <c r="AH25" s="10">
        <v>0.326075292002592</v>
      </c>
      <c r="AI25" s="10">
        <v>0.17288691741164147</v>
      </c>
      <c r="AJ25" s="10">
        <v>0.98121347329160713</v>
      </c>
      <c r="AK25" s="10">
        <v>1.0187865267083926</v>
      </c>
      <c r="AL25" s="10">
        <v>0</v>
      </c>
      <c r="AM25" s="6">
        <v>2</v>
      </c>
      <c r="AN25" s="8">
        <v>2</v>
      </c>
      <c r="AO25" s="8">
        <v>2</v>
      </c>
      <c r="AP25" s="8">
        <v>2</v>
      </c>
      <c r="AQ25" s="8">
        <v>2</v>
      </c>
      <c r="AR25" s="8">
        <v>0</v>
      </c>
      <c r="AS25" s="64">
        <v>10</v>
      </c>
      <c r="AT25" s="8">
        <v>2.0482154192029212</v>
      </c>
      <c r="AU25" s="8">
        <v>1.7247611604489164</v>
      </c>
      <c r="AV25" s="8">
        <v>1.6204189648147462</v>
      </c>
      <c r="AW25" s="8">
        <v>1.5848491389404311</v>
      </c>
      <c r="AX25" s="8">
        <v>1.803657072495741</v>
      </c>
      <c r="AY25" s="8">
        <v>2.6940741320920214</v>
      </c>
      <c r="AZ25" s="8">
        <v>3.5240241120052231</v>
      </c>
      <c r="BA25" s="8">
        <v>1.8519049166791257</v>
      </c>
      <c r="BB25" s="8">
        <v>1.5672519093076631</v>
      </c>
      <c r="BC25" s="8">
        <v>1.42145761996579</v>
      </c>
      <c r="BD25" s="8">
        <v>1.4144381556276704</v>
      </c>
      <c r="BE25" s="8">
        <v>1.8993488283526492</v>
      </c>
      <c r="BF25" s="8">
        <v>3.0478212628740722</v>
      </c>
      <c r="BG25" s="8">
        <v>3.7977773071930301</v>
      </c>
      <c r="BH25" s="8">
        <v>1.9959752860821918</v>
      </c>
      <c r="BI25" s="8">
        <v>1.6022687964921025</v>
      </c>
      <c r="BJ25" s="8">
        <v>1.4402745254731584</v>
      </c>
      <c r="BK25" s="8">
        <v>1.3443753143242909</v>
      </c>
      <c r="BL25" s="8">
        <v>1.6197169203923096</v>
      </c>
      <c r="BM25" s="8">
        <v>2.8254218824273942</v>
      </c>
      <c r="BN25" s="8">
        <v>3.1719672748085537</v>
      </c>
      <c r="BO25" s="8">
        <v>1.77873489501634</v>
      </c>
      <c r="BP25" s="8">
        <v>1.4748436969904057</v>
      </c>
      <c r="BQ25" s="8">
        <v>1.3741263257985503</v>
      </c>
      <c r="BR25" s="8">
        <v>1.3025124660115337</v>
      </c>
      <c r="BS25" s="8">
        <v>1.6790373268685019</v>
      </c>
      <c r="BT25" s="8">
        <v>2.9954733942518019</v>
      </c>
      <c r="BU25" s="8">
        <v>3.3952718950628649</v>
      </c>
      <c r="BV25" s="8">
        <v>1.1016947985991348</v>
      </c>
      <c r="BW25" s="8">
        <v>0.89830520140086512</v>
      </c>
      <c r="BX25" s="8">
        <v>0</v>
      </c>
      <c r="BY25" s="8">
        <v>15</v>
      </c>
      <c r="BZ25" s="8">
        <v>15</v>
      </c>
      <c r="CA25" s="8">
        <v>14</v>
      </c>
      <c r="CB25" s="8">
        <v>14</v>
      </c>
      <c r="CC25" s="8">
        <v>2</v>
      </c>
      <c r="CD25" s="8">
        <v>0</v>
      </c>
      <c r="CE25" s="8">
        <v>60</v>
      </c>
      <c r="CF25" s="9">
        <v>3.2703090876750447</v>
      </c>
      <c r="CG25" s="9">
        <v>2.7822954563460138</v>
      </c>
      <c r="CH25" s="9">
        <v>2.6133243958622838</v>
      </c>
      <c r="CI25" s="9">
        <v>2.5547927301379385</v>
      </c>
      <c r="CJ25" s="9">
        <v>2.9044929118877376</v>
      </c>
      <c r="CK25" s="9">
        <v>4.2967297787827992</v>
      </c>
      <c r="CL25" s="9">
        <v>5.5780556393081833</v>
      </c>
      <c r="CM25" s="9">
        <v>2.967808622587861</v>
      </c>
      <c r="CN25" s="9">
        <v>2.5301441300188778</v>
      </c>
      <c r="CO25" s="9">
        <v>2.2922905250034402</v>
      </c>
      <c r="CP25" s="9">
        <v>2.288050875185748</v>
      </c>
      <c r="CQ25" s="9">
        <v>3.0538821383794312</v>
      </c>
      <c r="CR25" s="9">
        <v>4.8623667029915589</v>
      </c>
      <c r="CS25" s="9">
        <v>6.0054570058330832</v>
      </c>
      <c r="CT25" s="9">
        <v>3.2780998996837107</v>
      </c>
      <c r="CU25" s="9">
        <v>2.6513882454929516</v>
      </c>
      <c r="CV25" s="9">
        <v>2.3841845652860267</v>
      </c>
      <c r="CW25" s="9">
        <v>2.2279557093899593</v>
      </c>
      <c r="CX25" s="9">
        <v>2.6755995200997491</v>
      </c>
      <c r="CY25" s="9">
        <v>4.6260674155786532</v>
      </c>
      <c r="CZ25" s="9">
        <v>5.1567046444689506</v>
      </c>
      <c r="DA25" s="9">
        <v>2.9289644697137067</v>
      </c>
      <c r="DB25" s="9">
        <v>2.4437008962620355</v>
      </c>
      <c r="DC25" s="9">
        <v>2.278678993485848</v>
      </c>
      <c r="DD25" s="9">
        <v>2.1568641833594131</v>
      </c>
      <c r="DE25" s="9">
        <v>2.7723255649371796</v>
      </c>
      <c r="DF25" s="9">
        <v>4.9015484237918709</v>
      </c>
      <c r="DG25" s="9">
        <v>5.5179174684499426</v>
      </c>
      <c r="DH25" s="9">
        <v>3.1846030704898762</v>
      </c>
      <c r="DI25" s="9">
        <v>2.8153969295101229</v>
      </c>
      <c r="DJ25" s="9"/>
      <c r="DK25" s="9">
        <v>24</v>
      </c>
      <c r="DL25" s="9">
        <v>24</v>
      </c>
      <c r="DM25" s="9">
        <v>23</v>
      </c>
      <c r="DN25" s="9">
        <v>23</v>
      </c>
      <c r="DO25" s="9">
        <v>6</v>
      </c>
      <c r="DP25" s="9"/>
      <c r="DQ25" s="9">
        <v>100</v>
      </c>
      <c r="DR25" s="8">
        <f>+SUM(Tabla2[[#This Row],[1 gral]:[1 gral]])</f>
        <v>3.2703090876750447</v>
      </c>
      <c r="DS25" s="8">
        <f>+SUM(Tabla2[[#This Row],[1 temm]:[1 temm]])</f>
        <v>2.0482154192029212</v>
      </c>
      <c r="DT25" s="8">
        <f>+SUM(Tabla2[[#This Row],[1 porta]:[1 porta]])</f>
        <v>0.24119600166211994</v>
      </c>
      <c r="DU25" s="8">
        <f>+Tabla2[[#This Row],[GRAL]]-(Tabla2[[#This Row],[TEMM14]]+Tabla2[[#This Row],[PORTA15]])</f>
        <v>0.98089766681000379</v>
      </c>
    </row>
    <row r="26" spans="1:125" x14ac:dyDescent="0.2">
      <c r="A26" s="84" t="s">
        <v>99</v>
      </c>
      <c r="B26" s="84" t="s">
        <v>482</v>
      </c>
      <c r="C26" s="11" t="s">
        <v>125</v>
      </c>
      <c r="D26" s="11">
        <v>2090932</v>
      </c>
      <c r="E26" s="11" t="s">
        <v>27</v>
      </c>
      <c r="F26" s="11" t="s">
        <v>310</v>
      </c>
      <c r="G26" s="43" t="s">
        <v>281</v>
      </c>
      <c r="H26" s="10">
        <v>0.12059800083105997</v>
      </c>
      <c r="I26" s="10">
        <v>0.16789847649467127</v>
      </c>
      <c r="J26" s="10">
        <v>0.1562207193579257</v>
      </c>
      <c r="K26" s="10">
        <v>0.15006952754027642</v>
      </c>
      <c r="L26" s="10">
        <v>0.16374086192033718</v>
      </c>
      <c r="M26" s="10">
        <v>0.14743099948912008</v>
      </c>
      <c r="N26" s="10">
        <v>9.4041414366609274E-2</v>
      </c>
      <c r="O26" s="10">
        <v>0.13456875821488182</v>
      </c>
      <c r="P26" s="10">
        <v>0.15707930258261715</v>
      </c>
      <c r="Q26" s="10">
        <v>0.1366666184667969</v>
      </c>
      <c r="R26" s="10">
        <v>0.15251213813195408</v>
      </c>
      <c r="S26" s="10">
        <v>0.16144595225895933</v>
      </c>
      <c r="T26" s="10">
        <v>0.17017767644203829</v>
      </c>
      <c r="U26" s="10">
        <v>8.7549553902752458E-2</v>
      </c>
      <c r="V26" s="10">
        <v>0.13996353763244257</v>
      </c>
      <c r="W26" s="10">
        <v>0.16408049301484401</v>
      </c>
      <c r="X26" s="10">
        <v>0.14972686275640418</v>
      </c>
      <c r="Y26" s="10">
        <v>0.1463085242518728</v>
      </c>
      <c r="Z26" s="10">
        <v>0.15374768661164634</v>
      </c>
      <c r="AA26" s="10">
        <v>0.16100337430944414</v>
      </c>
      <c r="AB26" s="10">
        <v>8.5169521423346065E-2</v>
      </c>
      <c r="AC26" s="10">
        <v>0.14462106218700971</v>
      </c>
      <c r="AD26" s="10">
        <v>0.15927880292158872</v>
      </c>
      <c r="AE26" s="10">
        <v>0.15323481470929368</v>
      </c>
      <c r="AF26" s="10">
        <v>0.13729451948603222</v>
      </c>
      <c r="AG26" s="10">
        <v>0.15608969598895889</v>
      </c>
      <c r="AH26" s="10">
        <v>0.163037646001296</v>
      </c>
      <c r="AI26" s="10">
        <v>8.6443458705820736E-2</v>
      </c>
      <c r="AJ26" s="10">
        <v>0.49060673664580357</v>
      </c>
      <c r="AK26" s="10">
        <v>0.50939326335419632</v>
      </c>
      <c r="AL26" s="10">
        <v>0</v>
      </c>
      <c r="AM26" s="6">
        <v>1</v>
      </c>
      <c r="AN26" s="8">
        <v>1</v>
      </c>
      <c r="AO26" s="8">
        <v>1</v>
      </c>
      <c r="AP26" s="8">
        <v>1</v>
      </c>
      <c r="AQ26" s="8">
        <v>1</v>
      </c>
      <c r="AR26" s="8">
        <v>0</v>
      </c>
      <c r="AS26" s="87">
        <v>5</v>
      </c>
      <c r="AT26" s="8">
        <v>0.41306087536539887</v>
      </c>
      <c r="AU26" s="8">
        <v>0.33361343227590967</v>
      </c>
      <c r="AV26" s="8">
        <v>0.31375676688360443</v>
      </c>
      <c r="AW26" s="8">
        <v>0.30745277387146175</v>
      </c>
      <c r="AX26" s="8">
        <v>0.35141061655187228</v>
      </c>
      <c r="AY26" s="8">
        <v>0.54570924270062171</v>
      </c>
      <c r="AZ26" s="8">
        <v>0.73499629235113151</v>
      </c>
      <c r="BA26" s="8">
        <v>0.36800060538519513</v>
      </c>
      <c r="BB26" s="8">
        <v>0.30217984429822414</v>
      </c>
      <c r="BC26" s="8">
        <v>0.27531235746406996</v>
      </c>
      <c r="BD26" s="8">
        <v>0.27041271803479633</v>
      </c>
      <c r="BE26" s="8">
        <v>0.37240775916293356</v>
      </c>
      <c r="BF26" s="8">
        <v>0.61663791137829294</v>
      </c>
      <c r="BG26" s="8">
        <v>0.79504880427648805</v>
      </c>
      <c r="BH26" s="8">
        <v>0.42831040348840366</v>
      </c>
      <c r="BI26" s="8">
        <v>0.33188960849475196</v>
      </c>
      <c r="BJ26" s="8">
        <v>0.29781869139617406</v>
      </c>
      <c r="BK26" s="8">
        <v>0.27647695155517338</v>
      </c>
      <c r="BL26" s="8">
        <v>0.33830059241092231</v>
      </c>
      <c r="BM26" s="8">
        <v>0.61486580956568071</v>
      </c>
      <c r="BN26" s="8">
        <v>0.71233794308889409</v>
      </c>
      <c r="BO26" s="8">
        <v>0.37710319219138388</v>
      </c>
      <c r="BP26" s="8">
        <v>0.30359189863126546</v>
      </c>
      <c r="BQ26" s="8">
        <v>0.28174419486675151</v>
      </c>
      <c r="BR26" s="8">
        <v>0.26889644919819267</v>
      </c>
      <c r="BS26" s="8">
        <v>0.35144945327989457</v>
      </c>
      <c r="BT26" s="8">
        <v>0.65363901882703979</v>
      </c>
      <c r="BU26" s="8">
        <v>0.76357579300547163</v>
      </c>
      <c r="BV26" s="8">
        <v>1.1016947985991348</v>
      </c>
      <c r="BW26" s="8">
        <v>0.89830520140086512</v>
      </c>
      <c r="BX26" s="8">
        <v>0</v>
      </c>
      <c r="BY26" s="8">
        <v>3</v>
      </c>
      <c r="BZ26" s="8">
        <v>3</v>
      </c>
      <c r="CA26" s="8">
        <v>3</v>
      </c>
      <c r="CB26" s="8">
        <v>3</v>
      </c>
      <c r="CC26" s="8">
        <v>2</v>
      </c>
      <c r="CD26" s="8">
        <v>0</v>
      </c>
      <c r="CE26" s="8">
        <v>14</v>
      </c>
      <c r="CF26" s="9">
        <v>0.94671975156185773</v>
      </c>
      <c r="CG26" s="9">
        <v>0.83512534104649061</v>
      </c>
      <c r="CH26" s="9">
        <v>0.78373425312513456</v>
      </c>
      <c r="CI26" s="9">
        <v>0.76497507528319986</v>
      </c>
      <c r="CJ26" s="9">
        <v>0.86656209502408177</v>
      </c>
      <c r="CK26" s="9">
        <v>1.2388494848903635</v>
      </c>
      <c r="CL26" s="9">
        <v>1.5640339990688723</v>
      </c>
      <c r="CM26" s="9">
        <v>0.87056996898527217</v>
      </c>
      <c r="CN26" s="9">
        <v>0.76143899117906544</v>
      </c>
      <c r="CO26" s="9">
        <v>0.68729133339493687</v>
      </c>
      <c r="CP26" s="9">
        <v>0.69333757420154674</v>
      </c>
      <c r="CQ26" s="9">
        <v>0.90626147058482642</v>
      </c>
      <c r="CR26" s="9">
        <v>1.4034534991986241</v>
      </c>
      <c r="CS26" s="9">
        <v>1.6776471624557285</v>
      </c>
      <c r="CT26" s="9">
        <v>0.99658434460924983</v>
      </c>
      <c r="CU26" s="9">
        <v>0.82785971000434788</v>
      </c>
      <c r="CV26" s="9">
        <v>0.74536424554875236</v>
      </c>
      <c r="CW26" s="9">
        <v>0.69926242736221955</v>
      </c>
      <c r="CX26" s="9">
        <v>0.83034887143349101</v>
      </c>
      <c r="CY26" s="9">
        <v>1.3907349934408055</v>
      </c>
      <c r="CZ26" s="9">
        <v>1.5098454076011343</v>
      </c>
      <c r="DA26" s="9">
        <v>0.77312638250598287</v>
      </c>
      <c r="DB26" s="9">
        <v>0.66526530064036438</v>
      </c>
      <c r="DC26" s="9">
        <v>0.62280847282054619</v>
      </c>
      <c r="DD26" s="9">
        <v>0.58545526814968663</v>
      </c>
      <c r="DE26" s="9">
        <v>0.74183878478878318</v>
      </c>
      <c r="DF26" s="9">
        <v>1.252436010713029</v>
      </c>
      <c r="DG26" s="9">
        <v>1.3590697803816068</v>
      </c>
      <c r="DH26" s="9">
        <v>1.5923015352449383</v>
      </c>
      <c r="DI26" s="9">
        <v>1.4076984647550614</v>
      </c>
      <c r="DJ26" s="9"/>
      <c r="DK26" s="9">
        <v>7</v>
      </c>
      <c r="DL26" s="9">
        <v>7</v>
      </c>
      <c r="DM26" s="9">
        <v>7</v>
      </c>
      <c r="DN26" s="9">
        <v>6</v>
      </c>
      <c r="DO26" s="9">
        <v>3</v>
      </c>
      <c r="DP26" s="9"/>
      <c r="DQ26" s="9">
        <v>30</v>
      </c>
      <c r="DR26" s="8">
        <f>+SUM(Tabla2[[#This Row],[1 gral]:[1 gral]])</f>
        <v>0.94671975156185773</v>
      </c>
      <c r="DS26" s="8">
        <f>+SUM(Tabla2[[#This Row],[1 temm]:[1 temm]])</f>
        <v>0.41306087536539887</v>
      </c>
      <c r="DT26" s="8">
        <f>+SUM(Tabla2[[#This Row],[1 porta]:[1 porta]])</f>
        <v>0.12059800083105997</v>
      </c>
      <c r="DU26" s="8">
        <f>+Tabla2[[#This Row],[GRAL]]-(Tabla2[[#This Row],[TEMM14]]+Tabla2[[#This Row],[PORTA15]])</f>
        <v>0.41306087536539893</v>
      </c>
    </row>
    <row r="27" spans="1:125" x14ac:dyDescent="0.2">
      <c r="A27" s="84" t="s">
        <v>99</v>
      </c>
      <c r="B27" s="84" t="s">
        <v>482</v>
      </c>
      <c r="C27" s="11" t="s">
        <v>127</v>
      </c>
      <c r="D27" s="11">
        <v>2090937</v>
      </c>
      <c r="E27" s="11" t="s">
        <v>29</v>
      </c>
      <c r="F27" s="11" t="s">
        <v>309</v>
      </c>
      <c r="G27" s="43" t="s">
        <v>280</v>
      </c>
      <c r="H27" s="10">
        <v>0.24119600166211994</v>
      </c>
      <c r="I27" s="10">
        <v>0.33579695298934253</v>
      </c>
      <c r="J27" s="10">
        <v>0.31244143871585139</v>
      </c>
      <c r="K27" s="10">
        <v>0.30013905508055283</v>
      </c>
      <c r="L27" s="10">
        <v>0.32748172384067437</v>
      </c>
      <c r="M27" s="10">
        <v>0.29486199897824017</v>
      </c>
      <c r="N27" s="10">
        <v>0.18808282873321855</v>
      </c>
      <c r="O27" s="10">
        <v>0.26913751642976363</v>
      </c>
      <c r="P27" s="10">
        <v>0.31415860516523431</v>
      </c>
      <c r="Q27" s="10">
        <v>0.27333323693359379</v>
      </c>
      <c r="R27" s="10">
        <v>0.30502427626390816</v>
      </c>
      <c r="S27" s="10">
        <v>0.32289190451791866</v>
      </c>
      <c r="T27" s="10">
        <v>0.34035535288407659</v>
      </c>
      <c r="U27" s="10">
        <v>0.17509910780550492</v>
      </c>
      <c r="V27" s="10">
        <v>0.27992707526488514</v>
      </c>
      <c r="W27" s="10">
        <v>0.32816098602968802</v>
      </c>
      <c r="X27" s="10">
        <v>0.29945372551280836</v>
      </c>
      <c r="Y27" s="10">
        <v>0.29261704850374559</v>
      </c>
      <c r="Z27" s="10">
        <v>0.30749537322329268</v>
      </c>
      <c r="AA27" s="10">
        <v>0.32200674861888828</v>
      </c>
      <c r="AB27" s="10">
        <v>0.17033904284669213</v>
      </c>
      <c r="AC27" s="10">
        <v>0.28924212437401942</v>
      </c>
      <c r="AD27" s="10">
        <v>0.31855760584317744</v>
      </c>
      <c r="AE27" s="10">
        <v>0.30646962941858735</v>
      </c>
      <c r="AF27" s="10">
        <v>0.27458903897206444</v>
      </c>
      <c r="AG27" s="10">
        <v>0.31217939197791778</v>
      </c>
      <c r="AH27" s="10">
        <v>0.326075292002592</v>
      </c>
      <c r="AI27" s="10">
        <v>0.17288691741164147</v>
      </c>
      <c r="AJ27" s="10">
        <v>0.98121347329160713</v>
      </c>
      <c r="AK27" s="10">
        <v>1.0187865267083926</v>
      </c>
      <c r="AL27" s="10">
        <v>0</v>
      </c>
      <c r="AM27" s="6">
        <v>2</v>
      </c>
      <c r="AN27" s="8">
        <v>2</v>
      </c>
      <c r="AO27" s="8">
        <v>2</v>
      </c>
      <c r="AP27" s="8">
        <v>2</v>
      </c>
      <c r="AQ27" s="8">
        <v>2</v>
      </c>
      <c r="AR27" s="8">
        <v>0</v>
      </c>
      <c r="AS27" s="64">
        <v>10</v>
      </c>
      <c r="AT27" s="8">
        <v>1.6522435014615955</v>
      </c>
      <c r="AU27" s="8">
        <v>1.3344537291036387</v>
      </c>
      <c r="AV27" s="8">
        <v>1.2550270675344177</v>
      </c>
      <c r="AW27" s="8">
        <v>1.229811095485847</v>
      </c>
      <c r="AX27" s="8">
        <v>1.4056424662074891</v>
      </c>
      <c r="AY27" s="8">
        <v>2.1828369708024868</v>
      </c>
      <c r="AZ27" s="8">
        <v>2.939985169404526</v>
      </c>
      <c r="BA27" s="8">
        <v>1.4720024215407805</v>
      </c>
      <c r="BB27" s="8">
        <v>1.2087193771928966</v>
      </c>
      <c r="BC27" s="8">
        <v>1.1012494298562798</v>
      </c>
      <c r="BD27" s="8">
        <v>1.0816508721391853</v>
      </c>
      <c r="BE27" s="8">
        <v>1.4896310366517342</v>
      </c>
      <c r="BF27" s="8">
        <v>2.4665516455131717</v>
      </c>
      <c r="BG27" s="8">
        <v>3.1801952171059522</v>
      </c>
      <c r="BH27" s="8">
        <v>1.5704714794574799</v>
      </c>
      <c r="BI27" s="8">
        <v>1.2169285644807573</v>
      </c>
      <c r="BJ27" s="8">
        <v>1.0920018684526382</v>
      </c>
      <c r="BK27" s="8">
        <v>1.013748822368969</v>
      </c>
      <c r="BL27" s="8">
        <v>1.2404355055067151</v>
      </c>
      <c r="BM27" s="8">
        <v>2.2545079684074962</v>
      </c>
      <c r="BN27" s="8">
        <v>2.6119057913259449</v>
      </c>
      <c r="BO27" s="8">
        <v>1.382711704701741</v>
      </c>
      <c r="BP27" s="8">
        <v>1.1131702949813065</v>
      </c>
      <c r="BQ27" s="8">
        <v>1.0330620478447554</v>
      </c>
      <c r="BR27" s="8">
        <v>0.98595364706003974</v>
      </c>
      <c r="BS27" s="8">
        <v>1.2886479953596135</v>
      </c>
      <c r="BT27" s="8">
        <v>2.3966764023658129</v>
      </c>
      <c r="BU27" s="8">
        <v>2.7997779076867291</v>
      </c>
      <c r="BV27" s="8">
        <v>1.1016947985991348</v>
      </c>
      <c r="BW27" s="8">
        <v>0.89830520140086512</v>
      </c>
      <c r="BX27" s="8">
        <v>0</v>
      </c>
      <c r="BY27" s="8">
        <v>12</v>
      </c>
      <c r="BZ27" s="8">
        <v>12</v>
      </c>
      <c r="CA27" s="8">
        <v>11</v>
      </c>
      <c r="CB27" s="8">
        <v>11</v>
      </c>
      <c r="CC27" s="8">
        <v>2</v>
      </c>
      <c r="CD27" s="8">
        <v>0</v>
      </c>
      <c r="CE27" s="8">
        <v>48</v>
      </c>
      <c r="CF27" s="9">
        <v>2.9949351707647791</v>
      </c>
      <c r="CG27" s="9">
        <v>2.5598865014954071</v>
      </c>
      <c r="CH27" s="9">
        <v>2.4041532179398808</v>
      </c>
      <c r="CI27" s="9">
        <v>2.3498242142236307</v>
      </c>
      <c r="CJ27" s="9">
        <v>2.6702191675198228</v>
      </c>
      <c r="CK27" s="9">
        <v>3.9329236169823849</v>
      </c>
      <c r="CL27" s="9">
        <v>5.0880581110740959</v>
      </c>
      <c r="CM27" s="9">
        <v>2.7224748856643979</v>
      </c>
      <c r="CN27" s="9">
        <v>2.3286909004867287</v>
      </c>
      <c r="CO27" s="9">
        <v>2.1087489533607271</v>
      </c>
      <c r="CP27" s="9">
        <v>2.1077757298292168</v>
      </c>
      <c r="CQ27" s="9">
        <v>2.8056102989374754</v>
      </c>
      <c r="CR27" s="9">
        <v>4.4512747620726962</v>
      </c>
      <c r="CS27" s="9">
        <v>5.4754244696487584</v>
      </c>
      <c r="CT27" s="9">
        <v>2.849789496195307</v>
      </c>
      <c r="CU27" s="9">
        <v>2.3194986369981998</v>
      </c>
      <c r="CV27" s="9">
        <v>2.0863658738898527</v>
      </c>
      <c r="CW27" s="9">
        <v>1.9514787578347859</v>
      </c>
      <c r="CX27" s="9">
        <v>2.3372989276888267</v>
      </c>
      <c r="CY27" s="9">
        <v>4.0112016060129729</v>
      </c>
      <c r="CZ27" s="9">
        <v>4.4443667013800567</v>
      </c>
      <c r="DA27" s="9">
        <v>2.5518612775223226</v>
      </c>
      <c r="DB27" s="9">
        <v>2.1401089976307697</v>
      </c>
      <c r="DC27" s="9">
        <v>1.9969347986190962</v>
      </c>
      <c r="DD27" s="9">
        <v>1.8879677341612202</v>
      </c>
      <c r="DE27" s="9">
        <v>2.420876111657285</v>
      </c>
      <c r="DF27" s="9">
        <v>4.2479094049648314</v>
      </c>
      <c r="DG27" s="9">
        <v>4.7543416754444712</v>
      </c>
      <c r="DH27" s="9">
        <v>3.1846030704898762</v>
      </c>
      <c r="DI27" s="9">
        <v>2.8153969295101229</v>
      </c>
      <c r="DJ27" s="9"/>
      <c r="DK27" s="9">
        <v>22</v>
      </c>
      <c r="DL27" s="9">
        <v>22</v>
      </c>
      <c r="DM27" s="9">
        <v>20</v>
      </c>
      <c r="DN27" s="9">
        <v>20</v>
      </c>
      <c r="DO27" s="9">
        <v>6</v>
      </c>
      <c r="DP27" s="9"/>
      <c r="DQ27" s="9">
        <v>90</v>
      </c>
      <c r="DR27" s="8">
        <f>+SUM(Tabla2[[#This Row],[1 gral]:[1 gral]])</f>
        <v>2.9949351707647791</v>
      </c>
      <c r="DS27" s="8">
        <f>+SUM(Tabla2[[#This Row],[1 temm]:[1 temm]])</f>
        <v>1.6522435014615955</v>
      </c>
      <c r="DT27" s="8">
        <f>+SUM(Tabla2[[#This Row],[1 porta]:[1 porta]])</f>
        <v>0.24119600166211994</v>
      </c>
      <c r="DU27" s="8">
        <f>+Tabla2[[#This Row],[GRAL]]-(Tabla2[[#This Row],[TEMM14]]+Tabla2[[#This Row],[PORTA15]])</f>
        <v>1.1014956676410637</v>
      </c>
    </row>
    <row r="28" spans="1:125" x14ac:dyDescent="0.2">
      <c r="A28" s="84" t="s">
        <v>99</v>
      </c>
      <c r="B28" s="84" t="s">
        <v>482</v>
      </c>
      <c r="C28" s="11" t="s">
        <v>127</v>
      </c>
      <c r="D28" s="11">
        <v>2090947</v>
      </c>
      <c r="E28" s="11" t="s">
        <v>30</v>
      </c>
      <c r="F28" s="11" t="s">
        <v>309</v>
      </c>
      <c r="G28" s="43" t="s">
        <v>280</v>
      </c>
      <c r="H28" s="10">
        <v>0.36179400249317989</v>
      </c>
      <c r="I28" s="10">
        <v>0.5036954294840138</v>
      </c>
      <c r="J28" s="10">
        <v>0.46866215807377709</v>
      </c>
      <c r="K28" s="10">
        <v>0.45020858262082925</v>
      </c>
      <c r="L28" s="10">
        <v>0.49122258576101152</v>
      </c>
      <c r="M28" s="10">
        <v>0.44229299846736025</v>
      </c>
      <c r="N28" s="10">
        <v>0.28212424309982781</v>
      </c>
      <c r="O28" s="10">
        <v>0.40370627464464548</v>
      </c>
      <c r="P28" s="10">
        <v>0.47123790774785146</v>
      </c>
      <c r="Q28" s="10">
        <v>0.40999985540039069</v>
      </c>
      <c r="R28" s="10">
        <v>0.45753641439586223</v>
      </c>
      <c r="S28" s="10">
        <v>0.48433785677687802</v>
      </c>
      <c r="T28" s="10">
        <v>0.51053302932611488</v>
      </c>
      <c r="U28" s="10">
        <v>0.2626486617082574</v>
      </c>
      <c r="V28" s="10">
        <v>0.41989061289732771</v>
      </c>
      <c r="W28" s="10">
        <v>0.49224147904453203</v>
      </c>
      <c r="X28" s="10">
        <v>0.44918058826921253</v>
      </c>
      <c r="Y28" s="10">
        <v>0.43892557275561839</v>
      </c>
      <c r="Z28" s="10">
        <v>0.46124305983493902</v>
      </c>
      <c r="AA28" s="10">
        <v>0.48301012292833245</v>
      </c>
      <c r="AB28" s="10">
        <v>0.25550856427003821</v>
      </c>
      <c r="AC28" s="10">
        <v>0.43386318656102912</v>
      </c>
      <c r="AD28" s="10">
        <v>0.47783640876476619</v>
      </c>
      <c r="AE28" s="10">
        <v>0.45970444412788103</v>
      </c>
      <c r="AF28" s="10">
        <v>0.41188355845809665</v>
      </c>
      <c r="AG28" s="10">
        <v>0.46826908796687666</v>
      </c>
      <c r="AH28" s="10">
        <v>0.489112938003888</v>
      </c>
      <c r="AI28" s="10">
        <v>0.25933037611746224</v>
      </c>
      <c r="AJ28" s="10">
        <v>0</v>
      </c>
      <c r="AK28" s="10">
        <v>0</v>
      </c>
      <c r="AL28" s="10">
        <v>0</v>
      </c>
      <c r="AM28" s="6">
        <v>3</v>
      </c>
      <c r="AN28" s="8">
        <v>3</v>
      </c>
      <c r="AO28" s="8">
        <v>3</v>
      </c>
      <c r="AP28" s="8">
        <v>3</v>
      </c>
      <c r="AQ28" s="8">
        <v>0</v>
      </c>
      <c r="AR28" s="8">
        <v>0</v>
      </c>
      <c r="AS28" s="64">
        <v>12</v>
      </c>
      <c r="AT28" s="8">
        <v>2.0653043768269943</v>
      </c>
      <c r="AU28" s="8">
        <v>1.6680671613795486</v>
      </c>
      <c r="AV28" s="8">
        <v>1.568783834418022</v>
      </c>
      <c r="AW28" s="8">
        <v>1.5372638693573086</v>
      </c>
      <c r="AX28" s="8">
        <v>1.7570530827593613</v>
      </c>
      <c r="AY28" s="8">
        <v>2.7285462135031087</v>
      </c>
      <c r="AZ28" s="8">
        <v>3.674981461755658</v>
      </c>
      <c r="BA28" s="8">
        <v>1.8400030269259755</v>
      </c>
      <c r="BB28" s="8">
        <v>1.5108992214911205</v>
      </c>
      <c r="BC28" s="8">
        <v>1.3765617873203499</v>
      </c>
      <c r="BD28" s="8">
        <v>1.3520635901739817</v>
      </c>
      <c r="BE28" s="8">
        <v>1.8620387958146676</v>
      </c>
      <c r="BF28" s="8">
        <v>3.0831895568914649</v>
      </c>
      <c r="BG28" s="8">
        <v>3.9752440213824398</v>
      </c>
      <c r="BH28" s="8">
        <v>1.9987818829458837</v>
      </c>
      <c r="BI28" s="8">
        <v>1.5488181729755093</v>
      </c>
      <c r="BJ28" s="8">
        <v>1.3898205598488123</v>
      </c>
      <c r="BK28" s="8">
        <v>1.2902257739241423</v>
      </c>
      <c r="BL28" s="8">
        <v>1.5787360979176375</v>
      </c>
      <c r="BM28" s="8">
        <v>2.8693737779731769</v>
      </c>
      <c r="BN28" s="8">
        <v>3.3242437344148388</v>
      </c>
      <c r="BO28" s="8">
        <v>1.7598148968931249</v>
      </c>
      <c r="BP28" s="8">
        <v>1.4167621936125721</v>
      </c>
      <c r="BQ28" s="8">
        <v>1.314806242711507</v>
      </c>
      <c r="BR28" s="8">
        <v>1.2548500962582323</v>
      </c>
      <c r="BS28" s="8">
        <v>1.6400974486395081</v>
      </c>
      <c r="BT28" s="8">
        <v>3.0503154211928525</v>
      </c>
      <c r="BU28" s="8">
        <v>3.5633537006922009</v>
      </c>
      <c r="BV28" s="8">
        <v>1.1016947985991348</v>
      </c>
      <c r="BW28" s="8">
        <v>0.89830520140086512</v>
      </c>
      <c r="BX28" s="8">
        <v>0</v>
      </c>
      <c r="BY28" s="8">
        <v>15</v>
      </c>
      <c r="BZ28" s="8">
        <v>15</v>
      </c>
      <c r="CA28" s="8">
        <v>14</v>
      </c>
      <c r="CB28" s="8">
        <v>14</v>
      </c>
      <c r="CC28" s="8">
        <v>2</v>
      </c>
      <c r="CD28" s="8">
        <v>0</v>
      </c>
      <c r="CE28" s="8">
        <v>60</v>
      </c>
      <c r="CF28" s="9">
        <v>3.666281005416371</v>
      </c>
      <c r="CG28" s="9">
        <v>3.1726028876912915</v>
      </c>
      <c r="CH28" s="9">
        <v>2.9787162931426123</v>
      </c>
      <c r="CI28" s="9">
        <v>2.9098307735925228</v>
      </c>
      <c r="CJ28" s="9">
        <v>3.3025075181759895</v>
      </c>
      <c r="CK28" s="9">
        <v>4.8079669400723333</v>
      </c>
      <c r="CL28" s="9">
        <v>6.1620945819088799</v>
      </c>
      <c r="CM28" s="9">
        <v>3.347711117726206</v>
      </c>
      <c r="CN28" s="9">
        <v>2.8886766621336442</v>
      </c>
      <c r="CO28" s="9">
        <v>2.6124987151129506</v>
      </c>
      <c r="CP28" s="9">
        <v>2.6208381586742329</v>
      </c>
      <c r="CQ28" s="9">
        <v>3.4635999300803464</v>
      </c>
      <c r="CR28" s="9">
        <v>5.4436363203524589</v>
      </c>
      <c r="CS28" s="9">
        <v>6.623039095920161</v>
      </c>
      <c r="CT28" s="9">
        <v>3.7036037063084222</v>
      </c>
      <c r="CU28" s="9">
        <v>3.0367284775042971</v>
      </c>
      <c r="CV28" s="9">
        <v>2.7324572223065471</v>
      </c>
      <c r="CW28" s="9">
        <v>2.5585822013452808</v>
      </c>
      <c r="CX28" s="9">
        <v>3.0548809349853432</v>
      </c>
      <c r="CY28" s="9">
        <v>5.1969813295985521</v>
      </c>
      <c r="CZ28" s="9">
        <v>5.7167661279515585</v>
      </c>
      <c r="DA28" s="9">
        <v>3.3249876600283059</v>
      </c>
      <c r="DB28" s="9">
        <v>2.8053742982711345</v>
      </c>
      <c r="DC28" s="9">
        <v>2.6197432714396425</v>
      </c>
      <c r="DD28" s="9">
        <v>2.4734230023109069</v>
      </c>
      <c r="DE28" s="9">
        <v>3.1627148964460687</v>
      </c>
      <c r="DF28" s="9">
        <v>5.5003454156778595</v>
      </c>
      <c r="DG28" s="9">
        <v>6.1134114558260784</v>
      </c>
      <c r="DH28" s="9">
        <v>2.2033895971982695</v>
      </c>
      <c r="DI28" s="9">
        <v>1.7966104028017302</v>
      </c>
      <c r="DJ28" s="9"/>
      <c r="DK28" s="9">
        <v>27</v>
      </c>
      <c r="DL28" s="9">
        <v>27</v>
      </c>
      <c r="DM28" s="9">
        <v>26</v>
      </c>
      <c r="DN28" s="9">
        <v>26</v>
      </c>
      <c r="DO28" s="9">
        <v>4</v>
      </c>
      <c r="DP28" s="9"/>
      <c r="DQ28" s="9">
        <v>110</v>
      </c>
      <c r="DR28" s="8">
        <f>+SUM(Tabla2[[#This Row],[1 gral]:[1 gral]])</f>
        <v>3.666281005416371</v>
      </c>
      <c r="DS28" s="8">
        <f>+SUM(Tabla2[[#This Row],[1 temm]:[1 temm]])</f>
        <v>2.0653043768269943</v>
      </c>
      <c r="DT28" s="8">
        <f>+SUM(Tabla2[[#This Row],[1 porta]:[1 porta]])</f>
        <v>0.36179400249317989</v>
      </c>
      <c r="DU28" s="8">
        <f>+Tabla2[[#This Row],[GRAL]]-(Tabla2[[#This Row],[TEMM14]]+Tabla2[[#This Row],[PORTA15]])</f>
        <v>1.2391826260961967</v>
      </c>
    </row>
    <row r="29" spans="1:125" x14ac:dyDescent="0.2">
      <c r="A29" s="84" t="s">
        <v>123</v>
      </c>
      <c r="B29" s="84" t="s">
        <v>482</v>
      </c>
      <c r="C29" s="11" t="s">
        <v>126</v>
      </c>
      <c r="D29" s="11">
        <v>2090997</v>
      </c>
      <c r="E29" s="11" t="s">
        <v>31</v>
      </c>
      <c r="F29" s="11" t="s">
        <v>306</v>
      </c>
      <c r="G29" s="43" t="s">
        <v>280</v>
      </c>
      <c r="H29" s="10">
        <v>0.24119600166211994</v>
      </c>
      <c r="I29" s="10">
        <v>0.33579695298934253</v>
      </c>
      <c r="J29" s="10">
        <v>0.31244143871585139</v>
      </c>
      <c r="K29" s="10">
        <v>0.30013905508055283</v>
      </c>
      <c r="L29" s="10">
        <v>0.32748172384067437</v>
      </c>
      <c r="M29" s="10">
        <v>0.29486199897824017</v>
      </c>
      <c r="N29" s="10">
        <v>0.18808282873321855</v>
      </c>
      <c r="O29" s="10">
        <v>0.26913751642976363</v>
      </c>
      <c r="P29" s="10">
        <v>0.31415860516523431</v>
      </c>
      <c r="Q29" s="10">
        <v>0.27333323693359379</v>
      </c>
      <c r="R29" s="10">
        <v>0.30502427626390816</v>
      </c>
      <c r="S29" s="10">
        <v>0.32289190451791866</v>
      </c>
      <c r="T29" s="10">
        <v>0.34035535288407659</v>
      </c>
      <c r="U29" s="10">
        <v>0.17509910780550492</v>
      </c>
      <c r="V29" s="10">
        <v>0.27992707526488514</v>
      </c>
      <c r="W29" s="10">
        <v>0.32816098602968802</v>
      </c>
      <c r="X29" s="10">
        <v>0.29945372551280836</v>
      </c>
      <c r="Y29" s="10">
        <v>0.29261704850374559</v>
      </c>
      <c r="Z29" s="10">
        <v>0.30749537322329268</v>
      </c>
      <c r="AA29" s="10">
        <v>0.32200674861888828</v>
      </c>
      <c r="AB29" s="10">
        <v>0.17033904284669213</v>
      </c>
      <c r="AC29" s="10">
        <v>0.28924212437401942</v>
      </c>
      <c r="AD29" s="10">
        <v>0.31855760584317744</v>
      </c>
      <c r="AE29" s="10">
        <v>0.30646962941858735</v>
      </c>
      <c r="AF29" s="10">
        <v>0.27458903897206444</v>
      </c>
      <c r="AG29" s="10">
        <v>0.31217939197791778</v>
      </c>
      <c r="AH29" s="10">
        <v>0.326075292002592</v>
      </c>
      <c r="AI29" s="10">
        <v>0.17288691741164147</v>
      </c>
      <c r="AJ29" s="10">
        <v>0.98121347329160713</v>
      </c>
      <c r="AK29" s="10">
        <v>1.0187865267083926</v>
      </c>
      <c r="AL29" s="10">
        <v>0</v>
      </c>
      <c r="AM29" s="6">
        <v>2</v>
      </c>
      <c r="AN29" s="8">
        <v>2</v>
      </c>
      <c r="AO29" s="8">
        <v>2</v>
      </c>
      <c r="AP29" s="8">
        <v>2</v>
      </c>
      <c r="AQ29" s="8">
        <v>2</v>
      </c>
      <c r="AR29" s="8">
        <v>0</v>
      </c>
      <c r="AS29" s="64">
        <v>10</v>
      </c>
      <c r="AT29" s="8">
        <v>2.3235893361131872</v>
      </c>
      <c r="AU29" s="8">
        <v>1.9471701152995231</v>
      </c>
      <c r="AV29" s="8">
        <v>1.8295901427371493</v>
      </c>
      <c r="AW29" s="8">
        <v>1.7898176548547389</v>
      </c>
      <c r="AX29" s="8">
        <v>2.0379308168636561</v>
      </c>
      <c r="AY29" s="8">
        <v>3.0578802938924357</v>
      </c>
      <c r="AZ29" s="8">
        <v>4.014021640239311</v>
      </c>
      <c r="BA29" s="8">
        <v>2.0972386536025893</v>
      </c>
      <c r="BB29" s="8">
        <v>1.7687051388398125</v>
      </c>
      <c r="BC29" s="8">
        <v>1.6049991916085034</v>
      </c>
      <c r="BD29" s="8">
        <v>1.5947133009842012</v>
      </c>
      <c r="BE29" s="8">
        <v>2.1476206677946048</v>
      </c>
      <c r="BF29" s="8">
        <v>3.458913203792934</v>
      </c>
      <c r="BG29" s="8">
        <v>4.3278098433773549</v>
      </c>
      <c r="BH29" s="8">
        <v>2.2815155550744604</v>
      </c>
      <c r="BI29" s="8">
        <v>1.8235285354886039</v>
      </c>
      <c r="BJ29" s="8">
        <v>1.6388203197372744</v>
      </c>
      <c r="BK29" s="8">
        <v>1.5286932820277395</v>
      </c>
      <c r="BL29" s="8">
        <v>1.8452506486662579</v>
      </c>
      <c r="BM29" s="8">
        <v>3.2353324221378479</v>
      </c>
      <c r="BN29" s="8">
        <v>3.6468592368678161</v>
      </c>
      <c r="BO29" s="8">
        <v>2.0301370231439293</v>
      </c>
      <c r="BP29" s="8">
        <v>1.677238296077916</v>
      </c>
      <c r="BQ29" s="8">
        <v>1.5619557890430511</v>
      </c>
      <c r="BR29" s="8">
        <v>1.4817767654769955</v>
      </c>
      <c r="BS29" s="8">
        <v>1.9133369623884318</v>
      </c>
      <c r="BT29" s="8">
        <v>3.4312327401364953</v>
      </c>
      <c r="BU29" s="8">
        <v>3.9043224237331788</v>
      </c>
      <c r="BV29" s="8">
        <v>2.1431489345445058</v>
      </c>
      <c r="BW29" s="8">
        <v>1.8568510654554942</v>
      </c>
      <c r="BX29" s="8">
        <v>0</v>
      </c>
      <c r="BY29" s="8">
        <v>17</v>
      </c>
      <c r="BZ29" s="8">
        <v>17</v>
      </c>
      <c r="CA29" s="8">
        <v>16</v>
      </c>
      <c r="CB29" s="8">
        <v>16</v>
      </c>
      <c r="CC29" s="8">
        <v>4</v>
      </c>
      <c r="CD29" s="8">
        <v>0</v>
      </c>
      <c r="CE29" s="8">
        <v>70</v>
      </c>
      <c r="CF29" s="9">
        <v>4.2341177968609758</v>
      </c>
      <c r="CG29" s="9">
        <v>3.5607267983231363</v>
      </c>
      <c r="CH29" s="9">
        <v>3.3454235185906942</v>
      </c>
      <c r="CI29" s="9">
        <v>3.2721825358380161</v>
      </c>
      <c r="CJ29" s="9">
        <v>3.7244510171754399</v>
      </c>
      <c r="CK29" s="9">
        <v>5.5700513450842504</v>
      </c>
      <c r="CL29" s="9">
        <v>7.2930469881274904</v>
      </c>
      <c r="CM29" s="9">
        <v>3.826476701819983</v>
      </c>
      <c r="CN29" s="9">
        <v>3.2352304333814006</v>
      </c>
      <c r="CO29" s="9">
        <v>2.9346860257529368</v>
      </c>
      <c r="CP29" s="9">
        <v>2.9190138839336059</v>
      </c>
      <c r="CQ29" s="9">
        <v>3.9228335764262763</v>
      </c>
      <c r="CR29" s="9">
        <v>6.3011884962075753</v>
      </c>
      <c r="CS29" s="9">
        <v>7.860570882478223</v>
      </c>
      <c r="CT29" s="9">
        <v>4.2774908411566521</v>
      </c>
      <c r="CU29" s="9">
        <v>3.4257973319807062</v>
      </c>
      <c r="CV29" s="9">
        <v>3.0790948452104328</v>
      </c>
      <c r="CW29" s="9">
        <v>2.8730685963520304</v>
      </c>
      <c r="CX29" s="9">
        <v>3.464967569058568</v>
      </c>
      <c r="CY29" s="9">
        <v>6.0607543045652417</v>
      </c>
      <c r="CZ29" s="9">
        <v>6.8188265116763702</v>
      </c>
      <c r="DA29" s="9">
        <v>3.6831708540964745</v>
      </c>
      <c r="DB29" s="9">
        <v>3.0508846935245666</v>
      </c>
      <c r="DC29" s="9">
        <v>2.8421673832193508</v>
      </c>
      <c r="DD29" s="9">
        <v>2.6946570817557984</v>
      </c>
      <c r="DE29" s="9">
        <v>3.4752244714969693</v>
      </c>
      <c r="DF29" s="9">
        <v>6.2088264614459501</v>
      </c>
      <c r="DG29" s="9">
        <v>7.0450690544608854</v>
      </c>
      <c r="DH29" s="9">
        <v>4.8371452683885785</v>
      </c>
      <c r="DI29" s="9">
        <v>4.1628547316114206</v>
      </c>
      <c r="DJ29" s="9"/>
      <c r="DK29" s="9">
        <v>31</v>
      </c>
      <c r="DL29" s="9">
        <v>31</v>
      </c>
      <c r="DM29" s="9">
        <v>30</v>
      </c>
      <c r="DN29" s="9">
        <v>29</v>
      </c>
      <c r="DO29" s="9">
        <v>9</v>
      </c>
      <c r="DP29" s="9"/>
      <c r="DQ29" s="9">
        <v>130</v>
      </c>
      <c r="DR29" s="8">
        <f>+SUM(Tabla2[[#This Row],[1 gral]:[1 gral]])</f>
        <v>4.2341177968609758</v>
      </c>
      <c r="DS29" s="8">
        <f>+SUM(Tabla2[[#This Row],[1 temm]:[1 temm]])</f>
        <v>2.3235893361131872</v>
      </c>
      <c r="DT29" s="8">
        <f>+SUM(Tabla2[[#This Row],[1 porta]:[1 porta]])</f>
        <v>0.24119600166211994</v>
      </c>
      <c r="DU29" s="8">
        <f>+Tabla2[[#This Row],[GRAL]]-(Tabla2[[#This Row],[TEMM14]]+Tabla2[[#This Row],[PORTA15]])</f>
        <v>1.6693324590856689</v>
      </c>
    </row>
    <row r="30" spans="1:125" x14ac:dyDescent="0.2">
      <c r="A30" s="84" t="s">
        <v>99</v>
      </c>
      <c r="B30" s="84" t="s">
        <v>482</v>
      </c>
      <c r="C30" s="11" t="s">
        <v>125</v>
      </c>
      <c r="D30" s="11">
        <v>2091007</v>
      </c>
      <c r="E30" s="11" t="s">
        <v>32</v>
      </c>
      <c r="F30" s="11" t="s">
        <v>310</v>
      </c>
      <c r="G30" s="43" t="s">
        <v>280</v>
      </c>
      <c r="H30" s="10">
        <v>0.24119600166211994</v>
      </c>
      <c r="I30" s="10">
        <v>0.33579695298934253</v>
      </c>
      <c r="J30" s="10">
        <v>0.31244143871585139</v>
      </c>
      <c r="K30" s="10">
        <v>0.30013905508055283</v>
      </c>
      <c r="L30" s="10">
        <v>0.32748172384067437</v>
      </c>
      <c r="M30" s="10">
        <v>0.29486199897824017</v>
      </c>
      <c r="N30" s="10">
        <v>0.18808282873321855</v>
      </c>
      <c r="O30" s="10">
        <v>0.40370627464464548</v>
      </c>
      <c r="P30" s="10">
        <v>0.47123790774785146</v>
      </c>
      <c r="Q30" s="10">
        <v>0.40999985540039069</v>
      </c>
      <c r="R30" s="10">
        <v>0.45753641439586223</v>
      </c>
      <c r="S30" s="10">
        <v>0.48433785677687802</v>
      </c>
      <c r="T30" s="10">
        <v>0.51053302932611488</v>
      </c>
      <c r="U30" s="10">
        <v>0.2626486617082574</v>
      </c>
      <c r="V30" s="10">
        <v>0.41989061289732771</v>
      </c>
      <c r="W30" s="10">
        <v>0.49224147904453203</v>
      </c>
      <c r="X30" s="10">
        <v>0.44918058826921253</v>
      </c>
      <c r="Y30" s="10">
        <v>0.43892557275561839</v>
      </c>
      <c r="Z30" s="10">
        <v>0.46124305983493902</v>
      </c>
      <c r="AA30" s="10">
        <v>0.48301012292833245</v>
      </c>
      <c r="AB30" s="10">
        <v>0.25550856427003821</v>
      </c>
      <c r="AC30" s="10">
        <v>0.43386318656102912</v>
      </c>
      <c r="AD30" s="10">
        <v>0.47783640876476619</v>
      </c>
      <c r="AE30" s="10">
        <v>0.45970444412788103</v>
      </c>
      <c r="AF30" s="10">
        <v>0.41188355845809665</v>
      </c>
      <c r="AG30" s="10">
        <v>0.46826908796687666</v>
      </c>
      <c r="AH30" s="10">
        <v>0.489112938003888</v>
      </c>
      <c r="AI30" s="10">
        <v>0.25933037611746224</v>
      </c>
      <c r="AJ30" s="10">
        <v>-0.49060673664580357</v>
      </c>
      <c r="AK30" s="10">
        <v>-0.50939326335419632</v>
      </c>
      <c r="AL30" s="10">
        <v>0</v>
      </c>
      <c r="AM30" s="6">
        <v>2</v>
      </c>
      <c r="AN30" s="8">
        <v>3</v>
      </c>
      <c r="AO30" s="8">
        <v>3</v>
      </c>
      <c r="AP30" s="8">
        <v>3</v>
      </c>
      <c r="AQ30" s="8">
        <v>-1</v>
      </c>
      <c r="AR30" s="8">
        <v>0</v>
      </c>
      <c r="AS30" s="64">
        <v>10</v>
      </c>
      <c r="AT30" s="8">
        <v>1.6351545438375223</v>
      </c>
      <c r="AU30" s="8">
        <v>1.3911477281730069</v>
      </c>
      <c r="AV30" s="8">
        <v>1.3066621979311419</v>
      </c>
      <c r="AW30" s="8">
        <v>1.2773963650689693</v>
      </c>
      <c r="AX30" s="8">
        <v>1.4522464559438688</v>
      </c>
      <c r="AY30" s="8">
        <v>2.1483648893913996</v>
      </c>
      <c r="AZ30" s="8">
        <v>2.7890278196540916</v>
      </c>
      <c r="BA30" s="8">
        <v>1.4839043112939305</v>
      </c>
      <c r="BB30" s="8">
        <v>1.2650720650094389</v>
      </c>
      <c r="BC30" s="8">
        <v>1.1461452625017201</v>
      </c>
      <c r="BD30" s="8">
        <v>1.144025437592874</v>
      </c>
      <c r="BE30" s="8">
        <v>1.5269410691897156</v>
      </c>
      <c r="BF30" s="8">
        <v>2.431183351495779</v>
      </c>
      <c r="BG30" s="8">
        <v>3.002728502916542</v>
      </c>
      <c r="BH30" s="8">
        <v>1.567664882593788</v>
      </c>
      <c r="BI30" s="8">
        <v>1.2703791879973505</v>
      </c>
      <c r="BJ30" s="8">
        <v>1.1424558340769844</v>
      </c>
      <c r="BK30" s="8">
        <v>1.0678983627691174</v>
      </c>
      <c r="BL30" s="8">
        <v>1.2814163279813873</v>
      </c>
      <c r="BM30" s="8">
        <v>2.2105560728617135</v>
      </c>
      <c r="BN30" s="8">
        <v>2.4596293317196594</v>
      </c>
      <c r="BO30" s="8">
        <v>1.4016317028249561</v>
      </c>
      <c r="BP30" s="8">
        <v>1.1712517983591402</v>
      </c>
      <c r="BQ30" s="8">
        <v>1.0923821309317987</v>
      </c>
      <c r="BR30" s="8">
        <v>1.033616016813341</v>
      </c>
      <c r="BS30" s="8">
        <v>1.3275878735886073</v>
      </c>
      <c r="BT30" s="8">
        <v>2.3418343754247624</v>
      </c>
      <c r="BU30" s="8">
        <v>2.631696102057393</v>
      </c>
      <c r="BV30" s="8">
        <v>1.1619354612528987</v>
      </c>
      <c r="BW30" s="8">
        <v>0.83806453874710141</v>
      </c>
      <c r="BX30" s="8">
        <v>0</v>
      </c>
      <c r="BY30" s="8">
        <v>12</v>
      </c>
      <c r="BZ30" s="8">
        <v>12</v>
      </c>
      <c r="CA30" s="8">
        <v>11</v>
      </c>
      <c r="CB30" s="8">
        <v>11</v>
      </c>
      <c r="CC30" s="8">
        <v>2</v>
      </c>
      <c r="CD30" s="8">
        <v>0</v>
      </c>
      <c r="CE30" s="8">
        <v>48</v>
      </c>
      <c r="CF30" s="9">
        <v>2.9949351707647791</v>
      </c>
      <c r="CG30" s="9">
        <v>2.5598865014954071</v>
      </c>
      <c r="CH30" s="9">
        <v>2.4041532179398808</v>
      </c>
      <c r="CI30" s="9">
        <v>2.3498242142236307</v>
      </c>
      <c r="CJ30" s="9">
        <v>2.6702191675198232</v>
      </c>
      <c r="CK30" s="9">
        <v>3.9329236169823849</v>
      </c>
      <c r="CL30" s="9">
        <v>5.0880581110740959</v>
      </c>
      <c r="CM30" s="9">
        <v>2.8570436438792797</v>
      </c>
      <c r="CN30" s="9">
        <v>2.4857702030693458</v>
      </c>
      <c r="CO30" s="9">
        <v>2.2454155718275239</v>
      </c>
      <c r="CP30" s="9">
        <v>2.2602878679611713</v>
      </c>
      <c r="CQ30" s="9">
        <v>2.9670562511964347</v>
      </c>
      <c r="CR30" s="9">
        <v>4.6214524385147344</v>
      </c>
      <c r="CS30" s="9">
        <v>5.5629740235515115</v>
      </c>
      <c r="CT30" s="9">
        <v>2.9897530338277494</v>
      </c>
      <c r="CU30" s="9">
        <v>2.4835791300130436</v>
      </c>
      <c r="CV30" s="9">
        <v>2.2360927366462566</v>
      </c>
      <c r="CW30" s="9">
        <v>2.0977872820866583</v>
      </c>
      <c r="CX30" s="9">
        <v>2.491046614300473</v>
      </c>
      <c r="CY30" s="9">
        <v>4.1722049803224168</v>
      </c>
      <c r="CZ30" s="9">
        <v>4.5295362228034026</v>
      </c>
      <c r="DA30" s="9">
        <v>2.6964823397093327</v>
      </c>
      <c r="DB30" s="9">
        <v>2.2993878005523589</v>
      </c>
      <c r="DC30" s="9">
        <v>2.1501696133283899</v>
      </c>
      <c r="DD30" s="9">
        <v>2.0252622536472527</v>
      </c>
      <c r="DE30" s="9">
        <v>2.5769658076462441</v>
      </c>
      <c r="DF30" s="9">
        <v>4.4109470509661275</v>
      </c>
      <c r="DG30" s="9">
        <v>4.8407851341502921</v>
      </c>
      <c r="DH30" s="9">
        <v>1.712782860552466</v>
      </c>
      <c r="DI30" s="9">
        <v>1.287217139447534</v>
      </c>
      <c r="DJ30" s="9"/>
      <c r="DK30" s="9">
        <v>22</v>
      </c>
      <c r="DL30" s="9">
        <v>23</v>
      </c>
      <c r="DM30" s="9">
        <v>21</v>
      </c>
      <c r="DN30" s="9">
        <v>21</v>
      </c>
      <c r="DO30" s="9">
        <v>3</v>
      </c>
      <c r="DP30" s="9"/>
      <c r="DQ30" s="9">
        <v>90</v>
      </c>
      <c r="DR30" s="8">
        <f>+SUM(Tabla2[[#This Row],[1 gral]:[1 gral]])</f>
        <v>2.9949351707647791</v>
      </c>
      <c r="DS30" s="8">
        <f>+SUM(Tabla2[[#This Row],[1 temm]:[1 temm]])</f>
        <v>1.6351545438375223</v>
      </c>
      <c r="DT30" s="8">
        <f>+SUM(Tabla2[[#This Row],[1 porta]:[1 porta]])</f>
        <v>0.24119600166211994</v>
      </c>
      <c r="DU30" s="8">
        <f>+Tabla2[[#This Row],[GRAL]]-(Tabla2[[#This Row],[TEMM14]]+Tabla2[[#This Row],[PORTA15]])</f>
        <v>1.1185846252651368</v>
      </c>
    </row>
    <row r="31" spans="1:125" hidden="1" x14ac:dyDescent="0.2">
      <c r="A31" s="84" t="s">
        <v>455</v>
      </c>
      <c r="B31" s="84" t="s">
        <v>483</v>
      </c>
      <c r="C31" s="11" t="s">
        <v>452</v>
      </c>
      <c r="D31" s="11">
        <v>2091016</v>
      </c>
      <c r="E31" s="11" t="s">
        <v>399</v>
      </c>
      <c r="F31" s="11" t="s">
        <v>460</v>
      </c>
      <c r="G31" s="43" t="s">
        <v>280</v>
      </c>
      <c r="H31" s="10">
        <v>0.36179400249317989</v>
      </c>
      <c r="I31" s="10">
        <v>0.5036954294840138</v>
      </c>
      <c r="J31" s="10">
        <v>0.46866215807377709</v>
      </c>
      <c r="K31" s="10">
        <v>0.45020858262082925</v>
      </c>
      <c r="L31" s="10">
        <v>0.49122258576101152</v>
      </c>
      <c r="M31" s="10">
        <v>0.44229299846736025</v>
      </c>
      <c r="N31" s="10">
        <v>0.28212424309982781</v>
      </c>
      <c r="O31" s="10">
        <v>0.40370627464464548</v>
      </c>
      <c r="P31" s="10">
        <v>0.47123790774785146</v>
      </c>
      <c r="Q31" s="10">
        <v>0.40999985540039069</v>
      </c>
      <c r="R31" s="10">
        <v>0.45753641439586223</v>
      </c>
      <c r="S31" s="10">
        <v>0.48433785677687802</v>
      </c>
      <c r="T31" s="10">
        <v>0.51053302932611488</v>
      </c>
      <c r="U31" s="10">
        <v>0.2626486617082574</v>
      </c>
      <c r="V31" s="10">
        <v>0.55985415052977028</v>
      </c>
      <c r="W31" s="10">
        <v>0.65632197205937604</v>
      </c>
      <c r="X31" s="10">
        <v>0.59890745102561671</v>
      </c>
      <c r="Y31" s="10">
        <v>0.58523409700749118</v>
      </c>
      <c r="Z31" s="10">
        <v>0.61499074644658536</v>
      </c>
      <c r="AA31" s="10">
        <v>0.64401349723777657</v>
      </c>
      <c r="AB31" s="10">
        <v>0.34067808569338426</v>
      </c>
      <c r="AC31" s="10">
        <v>0.57848424874803883</v>
      </c>
      <c r="AD31" s="10">
        <v>0.63711521168635488</v>
      </c>
      <c r="AE31" s="10">
        <v>0.61293925883717471</v>
      </c>
      <c r="AF31" s="10">
        <v>0.54917807794412887</v>
      </c>
      <c r="AG31" s="10">
        <v>0.62435878395583555</v>
      </c>
      <c r="AH31" s="10">
        <v>0.652150584005184</v>
      </c>
      <c r="AI31" s="10">
        <v>0.34577383482328294</v>
      </c>
      <c r="AJ31" s="10">
        <v>0.49060673664580357</v>
      </c>
      <c r="AK31" s="10">
        <v>0.50939326335419632</v>
      </c>
      <c r="AL31" s="10">
        <v>0</v>
      </c>
      <c r="AM31" s="6">
        <v>3</v>
      </c>
      <c r="AN31" s="8">
        <v>3</v>
      </c>
      <c r="AO31" s="8">
        <v>4</v>
      </c>
      <c r="AP31" s="8">
        <v>4</v>
      </c>
      <c r="AQ31" s="8">
        <v>1</v>
      </c>
      <c r="AR31" s="8">
        <v>0</v>
      </c>
      <c r="AS31" s="64">
        <v>15</v>
      </c>
      <c r="AT31" s="8">
        <v>2.3406782937372603</v>
      </c>
      <c r="AU31" s="8">
        <v>1.8904761162301549</v>
      </c>
      <c r="AV31" s="8">
        <v>1.7779550123404251</v>
      </c>
      <c r="AW31" s="8">
        <v>1.7422323852716164</v>
      </c>
      <c r="AX31" s="8">
        <v>1.9913268271272762</v>
      </c>
      <c r="AY31" s="8">
        <v>3.0923523753035229</v>
      </c>
      <c r="AZ31" s="8">
        <v>4.1649789899897458</v>
      </c>
      <c r="BA31" s="8">
        <v>2.0853367638494391</v>
      </c>
      <c r="BB31" s="8">
        <v>1.7123524510232702</v>
      </c>
      <c r="BC31" s="8">
        <v>1.5601033589630631</v>
      </c>
      <c r="BD31" s="8">
        <v>1.5323387355305125</v>
      </c>
      <c r="BE31" s="8">
        <v>2.1103106352566234</v>
      </c>
      <c r="BF31" s="8">
        <v>3.4942814978103267</v>
      </c>
      <c r="BG31" s="8">
        <v>4.5052765575667655</v>
      </c>
      <c r="BH31" s="8">
        <v>2.2843221519381527</v>
      </c>
      <c r="BI31" s="8">
        <v>1.7700779119720105</v>
      </c>
      <c r="BJ31" s="8">
        <v>1.5883663541129283</v>
      </c>
      <c r="BK31" s="8">
        <v>1.4745437416275913</v>
      </c>
      <c r="BL31" s="8">
        <v>1.8042698261915857</v>
      </c>
      <c r="BM31" s="8">
        <v>3.2792843176836306</v>
      </c>
      <c r="BN31" s="8">
        <v>3.7991356964741017</v>
      </c>
      <c r="BO31" s="8">
        <v>2.0112170250207142</v>
      </c>
      <c r="BP31" s="8">
        <v>1.6191567927000823</v>
      </c>
      <c r="BQ31" s="8">
        <v>1.502635705956008</v>
      </c>
      <c r="BR31" s="8">
        <v>1.4341143957236941</v>
      </c>
      <c r="BS31" s="8">
        <v>1.8743970841594377</v>
      </c>
      <c r="BT31" s="8">
        <v>3.4860747670775458</v>
      </c>
      <c r="BU31" s="8">
        <v>4.0724042293625153</v>
      </c>
      <c r="BV31" s="8">
        <v>1.6525421978987023</v>
      </c>
      <c r="BW31" s="8">
        <v>1.3474578021012977</v>
      </c>
      <c r="BX31" s="8">
        <v>0</v>
      </c>
      <c r="BY31" s="8">
        <v>17</v>
      </c>
      <c r="BZ31" s="8">
        <v>17</v>
      </c>
      <c r="CA31" s="8">
        <v>16</v>
      </c>
      <c r="CB31" s="8">
        <v>16</v>
      </c>
      <c r="CC31" s="8">
        <v>3</v>
      </c>
      <c r="CD31" s="8">
        <v>0</v>
      </c>
      <c r="CE31" s="8">
        <v>69</v>
      </c>
      <c r="CF31" s="9">
        <v>3.390907088506105</v>
      </c>
      <c r="CG31" s="9">
        <v>2.9501939328406848</v>
      </c>
      <c r="CH31" s="9">
        <v>2.7695451152202097</v>
      </c>
      <c r="CI31" s="9">
        <v>2.7048622576782151</v>
      </c>
      <c r="CJ31" s="9">
        <v>3.0682337738080747</v>
      </c>
      <c r="CK31" s="9">
        <v>4.444160778271919</v>
      </c>
      <c r="CL31" s="9">
        <v>5.6720970536747934</v>
      </c>
      <c r="CM31" s="9">
        <v>3.1023773808027428</v>
      </c>
      <c r="CN31" s="9">
        <v>2.6872234326014954</v>
      </c>
      <c r="CO31" s="9">
        <v>2.4289571434702371</v>
      </c>
      <c r="CP31" s="9">
        <v>2.4405630133177021</v>
      </c>
      <c r="CQ31" s="9">
        <v>3.2153280906383905</v>
      </c>
      <c r="CR31" s="9">
        <v>5.0325443794335971</v>
      </c>
      <c r="CS31" s="9">
        <v>6.0930065597358363</v>
      </c>
      <c r="CT31" s="9">
        <v>3.4152568404524608</v>
      </c>
      <c r="CU31" s="9">
        <v>2.8689193620243891</v>
      </c>
      <c r="CV31" s="9">
        <v>2.584365393666777</v>
      </c>
      <c r="CW31" s="9">
        <v>2.4284137740419807</v>
      </c>
      <c r="CX31" s="9">
        <v>2.8703280291860676</v>
      </c>
      <c r="CY31" s="9">
        <v>4.7431188943423148</v>
      </c>
      <c r="CZ31" s="9">
        <v>5.0895977062860114</v>
      </c>
      <c r="DA31" s="9">
        <v>3.0925055300239319</v>
      </c>
      <c r="DB31" s="9">
        <v>2.6610612025614575</v>
      </c>
      <c r="DC31" s="9">
        <v>2.4912338912821848</v>
      </c>
      <c r="DD31" s="9">
        <v>2.3418210725987465</v>
      </c>
      <c r="DE31" s="9">
        <v>2.9673551391551323</v>
      </c>
      <c r="DF31" s="9">
        <v>5.0097440428521161</v>
      </c>
      <c r="DG31" s="9">
        <v>5.436279121526427</v>
      </c>
      <c r="DH31" s="9">
        <v>2.6939963338440731</v>
      </c>
      <c r="DI31" s="9">
        <v>2.3060036661559269</v>
      </c>
      <c r="DJ31" s="9"/>
      <c r="DK31" s="9">
        <v>25</v>
      </c>
      <c r="DL31" s="9">
        <v>25</v>
      </c>
      <c r="DM31" s="9">
        <v>24</v>
      </c>
      <c r="DN31" s="9">
        <v>24</v>
      </c>
      <c r="DO31" s="9">
        <v>5</v>
      </c>
      <c r="DP31" s="9"/>
      <c r="DQ31" s="9">
        <v>103</v>
      </c>
      <c r="DR31" s="8">
        <f>+SUM(Tabla2[[#This Row],[1 gral]:[1 gral]])</f>
        <v>3.390907088506105</v>
      </c>
      <c r="DS31" s="8">
        <f>+SUM(Tabla2[[#This Row],[1 temm]:[1 temm]])</f>
        <v>2.3406782937372603</v>
      </c>
      <c r="DT31" s="8">
        <f>+SUM(Tabla2[[#This Row],[1 porta]:[1 porta]])</f>
        <v>0.36179400249317989</v>
      </c>
      <c r="DU31" s="8">
        <f>+Tabla2[[#This Row],[GRAL]]-(Tabla2[[#This Row],[TEMM14]]+Tabla2[[#This Row],[PORTA15]])</f>
        <v>0.68843479227566462</v>
      </c>
    </row>
    <row r="32" spans="1:125" hidden="1" x14ac:dyDescent="0.2">
      <c r="A32" s="84" t="s">
        <v>454</v>
      </c>
      <c r="B32" s="84" t="s">
        <v>483</v>
      </c>
      <c r="C32" s="11" t="s">
        <v>450</v>
      </c>
      <c r="D32" s="11">
        <v>2091032</v>
      </c>
      <c r="E32" s="11" t="s">
        <v>400</v>
      </c>
      <c r="F32" s="11" t="s">
        <v>460</v>
      </c>
      <c r="G32" s="43" t="s">
        <v>280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0.98121347329160713</v>
      </c>
      <c r="AK32" s="10">
        <v>1.0187865267083926</v>
      </c>
      <c r="AL32" s="10">
        <v>0</v>
      </c>
      <c r="AM32" s="6">
        <v>0</v>
      </c>
      <c r="AN32" s="8">
        <v>0</v>
      </c>
      <c r="AO32" s="8">
        <v>0</v>
      </c>
      <c r="AP32" s="8">
        <v>0</v>
      </c>
      <c r="AQ32" s="8">
        <v>2</v>
      </c>
      <c r="AR32" s="8">
        <v>0</v>
      </c>
      <c r="AS32" s="64">
        <v>2</v>
      </c>
      <c r="AT32" s="8">
        <v>1.6522435014615955</v>
      </c>
      <c r="AU32" s="8">
        <v>1.3344537291036387</v>
      </c>
      <c r="AV32" s="8">
        <v>1.2550270675344177</v>
      </c>
      <c r="AW32" s="8">
        <v>1.229811095485847</v>
      </c>
      <c r="AX32" s="8">
        <v>1.4056424662074891</v>
      </c>
      <c r="AY32" s="8">
        <v>2.1828369708024868</v>
      </c>
      <c r="AZ32" s="8">
        <v>2.939985169404526</v>
      </c>
      <c r="BA32" s="8">
        <v>1.4720024215407805</v>
      </c>
      <c r="BB32" s="8">
        <v>1.2087193771928966</v>
      </c>
      <c r="BC32" s="8">
        <v>1.1012494298562798</v>
      </c>
      <c r="BD32" s="8">
        <v>1.0816508721391853</v>
      </c>
      <c r="BE32" s="8">
        <v>1.4896310366517342</v>
      </c>
      <c r="BF32" s="8">
        <v>2.4665516455131717</v>
      </c>
      <c r="BG32" s="8">
        <v>3.1801952171059522</v>
      </c>
      <c r="BH32" s="8">
        <v>1.5704714794574799</v>
      </c>
      <c r="BI32" s="8">
        <v>1.2169285644807573</v>
      </c>
      <c r="BJ32" s="8">
        <v>1.0920018684526382</v>
      </c>
      <c r="BK32" s="8">
        <v>1.013748822368969</v>
      </c>
      <c r="BL32" s="8">
        <v>1.2404355055067151</v>
      </c>
      <c r="BM32" s="8">
        <v>2.2545079684074962</v>
      </c>
      <c r="BN32" s="8">
        <v>2.6119057913259449</v>
      </c>
      <c r="BO32" s="8">
        <v>1.382711704701741</v>
      </c>
      <c r="BP32" s="8">
        <v>1.1131702949813065</v>
      </c>
      <c r="BQ32" s="8">
        <v>1.0330620478447554</v>
      </c>
      <c r="BR32" s="8">
        <v>0.98595364706003974</v>
      </c>
      <c r="BS32" s="8">
        <v>1.2886479953596135</v>
      </c>
      <c r="BT32" s="8">
        <v>2.3966764023658129</v>
      </c>
      <c r="BU32" s="8">
        <v>2.7997779076867291</v>
      </c>
      <c r="BV32" s="8">
        <v>1.6525421978987023</v>
      </c>
      <c r="BW32" s="8">
        <v>1.3474578021012977</v>
      </c>
      <c r="BX32" s="8">
        <v>0</v>
      </c>
      <c r="BY32" s="8">
        <v>12</v>
      </c>
      <c r="BZ32" s="8">
        <v>12</v>
      </c>
      <c r="CA32" s="8">
        <v>11</v>
      </c>
      <c r="CB32" s="8">
        <v>11</v>
      </c>
      <c r="CC32" s="8">
        <v>3</v>
      </c>
      <c r="CD32" s="8">
        <v>0</v>
      </c>
      <c r="CE32" s="8">
        <v>49</v>
      </c>
      <c r="CF32" s="9">
        <v>3.8552348367437226</v>
      </c>
      <c r="CG32" s="9">
        <v>3.1137253679084904</v>
      </c>
      <c r="CH32" s="9">
        <v>2.9283964909136415</v>
      </c>
      <c r="CI32" s="9">
        <v>2.8695592228003095</v>
      </c>
      <c r="CJ32" s="9">
        <v>3.2798324211508079</v>
      </c>
      <c r="CK32" s="9">
        <v>5.0932862652058031</v>
      </c>
      <c r="CL32" s="9">
        <v>6.8599653952772277</v>
      </c>
      <c r="CM32" s="9">
        <v>3.4346723169284878</v>
      </c>
      <c r="CN32" s="9">
        <v>2.8203452134500919</v>
      </c>
      <c r="CO32" s="9">
        <v>2.5695820029979863</v>
      </c>
      <c r="CP32" s="9">
        <v>2.5238520349914326</v>
      </c>
      <c r="CQ32" s="9">
        <v>3.4758057521873797</v>
      </c>
      <c r="CR32" s="9">
        <v>5.7552871728640671</v>
      </c>
      <c r="CS32" s="9">
        <v>7.4204555065805549</v>
      </c>
      <c r="CT32" s="9">
        <v>3.7120234968994978</v>
      </c>
      <c r="CU32" s="9">
        <v>2.8763766069545174</v>
      </c>
      <c r="CV32" s="9">
        <v>2.5810953254335085</v>
      </c>
      <c r="CW32" s="9">
        <v>2.396133580144836</v>
      </c>
      <c r="CX32" s="9">
        <v>2.9319384675613267</v>
      </c>
      <c r="CY32" s="9">
        <v>5.3288370162358998</v>
      </c>
      <c r="CZ32" s="9">
        <v>6.1735955067704147</v>
      </c>
      <c r="DA32" s="9">
        <v>3.2682276656586606</v>
      </c>
      <c r="DB32" s="9">
        <v>2.6311297881376339</v>
      </c>
      <c r="DC32" s="9">
        <v>2.4417830221785128</v>
      </c>
      <c r="DD32" s="9">
        <v>2.330435893051003</v>
      </c>
      <c r="DE32" s="9">
        <v>3.0458952617590862</v>
      </c>
      <c r="DF32" s="9">
        <v>5.6648714965010125</v>
      </c>
      <c r="DG32" s="9">
        <v>6.617656872714087</v>
      </c>
      <c r="DH32" s="9">
        <v>4.8371452683885785</v>
      </c>
      <c r="DI32" s="9">
        <v>4.1628547316114206</v>
      </c>
      <c r="DJ32" s="9"/>
      <c r="DK32" s="9">
        <v>28</v>
      </c>
      <c r="DL32" s="9">
        <v>28</v>
      </c>
      <c r="DM32" s="9">
        <v>26</v>
      </c>
      <c r="DN32" s="9">
        <v>26</v>
      </c>
      <c r="DO32" s="9">
        <v>9</v>
      </c>
      <c r="DP32" s="9"/>
      <c r="DQ32" s="9">
        <v>117</v>
      </c>
      <c r="DR32" s="8">
        <f>+SUM(Tabla2[[#This Row],[1 gral]:[1 gral]])</f>
        <v>3.8552348367437226</v>
      </c>
      <c r="DS32" s="8">
        <f>+SUM(Tabla2[[#This Row],[1 temm]:[1 temm]])</f>
        <v>1.6522435014615955</v>
      </c>
      <c r="DT32" s="8">
        <f>+SUM(Tabla2[[#This Row],[1 porta]:[1 porta]])</f>
        <v>0</v>
      </c>
      <c r="DU32" s="8">
        <f>+Tabla2[[#This Row],[GRAL]]-(Tabla2[[#This Row],[TEMM14]]+Tabla2[[#This Row],[PORTA15]])</f>
        <v>2.2029913352821273</v>
      </c>
    </row>
    <row r="33" spans="1:125" hidden="1" x14ac:dyDescent="0.2">
      <c r="A33" s="84" t="s">
        <v>455</v>
      </c>
      <c r="B33" s="84" t="s">
        <v>483</v>
      </c>
      <c r="C33" s="11" t="s">
        <v>452</v>
      </c>
      <c r="D33" s="11">
        <v>2091046</v>
      </c>
      <c r="E33" s="11" t="s">
        <v>401</v>
      </c>
      <c r="F33" s="11" t="s">
        <v>464</v>
      </c>
      <c r="G33" s="43" t="s">
        <v>280</v>
      </c>
      <c r="H33" s="10">
        <v>0.36179400249317989</v>
      </c>
      <c r="I33" s="10">
        <v>0.5036954294840138</v>
      </c>
      <c r="J33" s="10">
        <v>0.46866215807377709</v>
      </c>
      <c r="K33" s="10">
        <v>0.45020858262082925</v>
      </c>
      <c r="L33" s="10">
        <v>0.49122258576101152</v>
      </c>
      <c r="M33" s="10">
        <v>0.44229299846736025</v>
      </c>
      <c r="N33" s="10">
        <v>0.28212424309982781</v>
      </c>
      <c r="O33" s="10">
        <v>0.53827503285952727</v>
      </c>
      <c r="P33" s="10">
        <v>0.62831721033046861</v>
      </c>
      <c r="Q33" s="10">
        <v>0.54666647386718759</v>
      </c>
      <c r="R33" s="10">
        <v>0.61004855252781631</v>
      </c>
      <c r="S33" s="10">
        <v>0.64578380903583732</v>
      </c>
      <c r="T33" s="10">
        <v>0.68071070576815318</v>
      </c>
      <c r="U33" s="10">
        <v>0.35019821561100983</v>
      </c>
      <c r="V33" s="10">
        <v>0.55985415052977028</v>
      </c>
      <c r="W33" s="10">
        <v>0.65632197205937604</v>
      </c>
      <c r="X33" s="10">
        <v>0.59890745102561671</v>
      </c>
      <c r="Y33" s="10">
        <v>0.58523409700749118</v>
      </c>
      <c r="Z33" s="10">
        <v>0.61499074644658536</v>
      </c>
      <c r="AA33" s="10">
        <v>0.64401349723777657</v>
      </c>
      <c r="AB33" s="10">
        <v>0.34067808569338426</v>
      </c>
      <c r="AC33" s="10">
        <v>0.57848424874803883</v>
      </c>
      <c r="AD33" s="10">
        <v>0.63711521168635488</v>
      </c>
      <c r="AE33" s="10">
        <v>0.61293925883717471</v>
      </c>
      <c r="AF33" s="10">
        <v>0.54917807794412887</v>
      </c>
      <c r="AG33" s="10">
        <v>0.62435878395583555</v>
      </c>
      <c r="AH33" s="10">
        <v>0.652150584005184</v>
      </c>
      <c r="AI33" s="10">
        <v>0.34577383482328294</v>
      </c>
      <c r="AJ33" s="10">
        <v>0.49060673664580357</v>
      </c>
      <c r="AK33" s="10">
        <v>0.50939326335419632</v>
      </c>
      <c r="AL33" s="10">
        <v>0</v>
      </c>
      <c r="AM33" s="6">
        <v>3</v>
      </c>
      <c r="AN33" s="8">
        <v>4</v>
      </c>
      <c r="AO33" s="8">
        <v>4</v>
      </c>
      <c r="AP33" s="8">
        <v>4</v>
      </c>
      <c r="AQ33" s="8">
        <v>1</v>
      </c>
      <c r="AR33" s="8">
        <v>0</v>
      </c>
      <c r="AS33" s="64">
        <v>16</v>
      </c>
      <c r="AT33" s="8">
        <v>2.3406782937372603</v>
      </c>
      <c r="AU33" s="8">
        <v>1.8904761162301549</v>
      </c>
      <c r="AV33" s="8">
        <v>1.7779550123404251</v>
      </c>
      <c r="AW33" s="8">
        <v>1.7422323852716164</v>
      </c>
      <c r="AX33" s="8">
        <v>1.9913268271272762</v>
      </c>
      <c r="AY33" s="8">
        <v>3.0923523753035229</v>
      </c>
      <c r="AZ33" s="8">
        <v>4.1649789899897458</v>
      </c>
      <c r="BA33" s="8">
        <v>2.0853367638494391</v>
      </c>
      <c r="BB33" s="8">
        <v>1.7123524510232702</v>
      </c>
      <c r="BC33" s="8">
        <v>1.5601033589630631</v>
      </c>
      <c r="BD33" s="8">
        <v>1.5323387355305125</v>
      </c>
      <c r="BE33" s="8">
        <v>2.1103106352566234</v>
      </c>
      <c r="BF33" s="8">
        <v>3.4942814978103267</v>
      </c>
      <c r="BG33" s="8">
        <v>4.5052765575667655</v>
      </c>
      <c r="BH33" s="8">
        <v>2.2843221519381527</v>
      </c>
      <c r="BI33" s="8">
        <v>1.7700779119720105</v>
      </c>
      <c r="BJ33" s="8">
        <v>1.5883663541129283</v>
      </c>
      <c r="BK33" s="8">
        <v>1.4745437416275913</v>
      </c>
      <c r="BL33" s="8">
        <v>1.8042698261915857</v>
      </c>
      <c r="BM33" s="8">
        <v>3.2792843176836306</v>
      </c>
      <c r="BN33" s="8">
        <v>3.7991356964741017</v>
      </c>
      <c r="BO33" s="8">
        <v>2.0112170250207142</v>
      </c>
      <c r="BP33" s="8">
        <v>1.6191567927000823</v>
      </c>
      <c r="BQ33" s="8">
        <v>1.502635705956008</v>
      </c>
      <c r="BR33" s="8">
        <v>1.4341143957236941</v>
      </c>
      <c r="BS33" s="8">
        <v>1.8743970841594377</v>
      </c>
      <c r="BT33" s="8">
        <v>3.4860747670775458</v>
      </c>
      <c r="BU33" s="8">
        <v>4.0724042293625153</v>
      </c>
      <c r="BV33" s="8">
        <v>1.6525421978987023</v>
      </c>
      <c r="BW33" s="8">
        <v>1.3474578021012977</v>
      </c>
      <c r="BX33" s="8">
        <v>0</v>
      </c>
      <c r="BY33" s="8">
        <v>17</v>
      </c>
      <c r="BZ33" s="8">
        <v>17</v>
      </c>
      <c r="CA33" s="8">
        <v>16</v>
      </c>
      <c r="CB33" s="8">
        <v>16</v>
      </c>
      <c r="CC33" s="8">
        <v>3</v>
      </c>
      <c r="CD33" s="8">
        <v>0</v>
      </c>
      <c r="CE33" s="8">
        <v>69</v>
      </c>
      <c r="CF33" s="9">
        <v>3.9416549223266371</v>
      </c>
      <c r="CG33" s="9">
        <v>3.3950118425418978</v>
      </c>
      <c r="CH33" s="9">
        <v>3.1878874710650158</v>
      </c>
      <c r="CI33" s="9">
        <v>3.1147992895068306</v>
      </c>
      <c r="CJ33" s="9">
        <v>3.5367812625439043</v>
      </c>
      <c r="CK33" s="9">
        <v>5.1717731018727484</v>
      </c>
      <c r="CL33" s="9">
        <v>6.6520921101429682</v>
      </c>
      <c r="CM33" s="9">
        <v>3.7276136128645518</v>
      </c>
      <c r="CN33" s="9">
        <v>3.2472091942484114</v>
      </c>
      <c r="CO33" s="9">
        <v>2.932706905222461</v>
      </c>
      <c r="CP33" s="9">
        <v>2.9536254421627177</v>
      </c>
      <c r="CQ33" s="9">
        <v>3.8733177217812615</v>
      </c>
      <c r="CR33" s="9">
        <v>6.0249059377133589</v>
      </c>
      <c r="CS33" s="9">
        <v>7.2406211860072389</v>
      </c>
      <c r="CT33" s="9">
        <v>3.9863373784369989</v>
      </c>
      <c r="CU33" s="9">
        <v>3.311438840017392</v>
      </c>
      <c r="CV33" s="9">
        <v>2.981456982195009</v>
      </c>
      <c r="CW33" s="9">
        <v>2.7970497094488782</v>
      </c>
      <c r="CX33" s="9">
        <v>3.321395485733964</v>
      </c>
      <c r="CY33" s="9">
        <v>5.5629399737632221</v>
      </c>
      <c r="CZ33" s="9">
        <v>6.0393816304045362</v>
      </c>
      <c r="DA33" s="9">
        <v>3.5953097862791106</v>
      </c>
      <c r="DB33" s="9">
        <v>3.065850400736478</v>
      </c>
      <c r="DC33" s="9">
        <v>2.8668928177711868</v>
      </c>
      <c r="DD33" s="9">
        <v>2.7003496715296702</v>
      </c>
      <c r="DE33" s="9">
        <v>3.4359544101949919</v>
      </c>
      <c r="DF33" s="9">
        <v>5.8812627346215027</v>
      </c>
      <c r="DG33" s="9">
        <v>6.4543801788670558</v>
      </c>
      <c r="DH33" s="9">
        <v>3.2448437331436404</v>
      </c>
      <c r="DI33" s="9">
        <v>2.7551562668563592</v>
      </c>
      <c r="DJ33" s="9"/>
      <c r="DK33" s="9">
        <v>29</v>
      </c>
      <c r="DL33" s="9">
        <v>30</v>
      </c>
      <c r="DM33" s="9">
        <v>28</v>
      </c>
      <c r="DN33" s="9">
        <v>28</v>
      </c>
      <c r="DO33" s="9">
        <v>6</v>
      </c>
      <c r="DP33" s="9"/>
      <c r="DQ33" s="9">
        <v>121</v>
      </c>
      <c r="DR33" s="8">
        <f>+SUM(Tabla2[[#This Row],[1 gral]:[1 gral]])</f>
        <v>3.9416549223266371</v>
      </c>
      <c r="DS33" s="8">
        <f>+SUM(Tabla2[[#This Row],[1 temm]:[1 temm]])</f>
        <v>2.3406782937372603</v>
      </c>
      <c r="DT33" s="8">
        <f>+SUM(Tabla2[[#This Row],[1 porta]:[1 porta]])</f>
        <v>0.36179400249317989</v>
      </c>
      <c r="DU33" s="8">
        <f>+Tabla2[[#This Row],[GRAL]]-(Tabla2[[#This Row],[TEMM14]]+Tabla2[[#This Row],[PORTA15]])</f>
        <v>1.2391826260961967</v>
      </c>
    </row>
    <row r="34" spans="1:125" hidden="1" x14ac:dyDescent="0.2">
      <c r="A34" s="84" t="s">
        <v>455</v>
      </c>
      <c r="B34" s="84" t="s">
        <v>483</v>
      </c>
      <c r="C34" s="11" t="s">
        <v>450</v>
      </c>
      <c r="D34" s="11">
        <v>2091151</v>
      </c>
      <c r="E34" s="11" t="s">
        <v>402</v>
      </c>
      <c r="F34" s="11" t="s">
        <v>461</v>
      </c>
      <c r="G34" s="43" t="s">
        <v>280</v>
      </c>
      <c r="H34" s="10">
        <v>0.12059800083105997</v>
      </c>
      <c r="I34" s="10">
        <v>0.16789847649467127</v>
      </c>
      <c r="J34" s="10">
        <v>0.1562207193579257</v>
      </c>
      <c r="K34" s="10">
        <v>0.15006952754027642</v>
      </c>
      <c r="L34" s="18">
        <v>0.16374086192033718</v>
      </c>
      <c r="M34" s="10">
        <v>0.14743099948912008</v>
      </c>
      <c r="N34" s="10">
        <v>9.4041414366609274E-2</v>
      </c>
      <c r="O34" s="10">
        <v>0.13456875821488182</v>
      </c>
      <c r="P34" s="10">
        <v>0.15707930258261715</v>
      </c>
      <c r="Q34" s="10">
        <v>0.1366666184667969</v>
      </c>
      <c r="R34" s="10">
        <v>0.15251213813195408</v>
      </c>
      <c r="S34" s="10">
        <v>0.16144595225895933</v>
      </c>
      <c r="T34" s="10">
        <v>0.17017767644203829</v>
      </c>
      <c r="U34" s="10">
        <v>8.7549553902752458E-2</v>
      </c>
      <c r="V34" s="10">
        <v>0.13996353763244257</v>
      </c>
      <c r="W34" s="10">
        <v>0.16408049301484401</v>
      </c>
      <c r="X34" s="10">
        <v>0.14972686275640418</v>
      </c>
      <c r="Y34" s="10">
        <v>0.1463085242518728</v>
      </c>
      <c r="Z34" s="10">
        <v>0.15374768661164634</v>
      </c>
      <c r="AA34" s="10">
        <v>0.16100337430944414</v>
      </c>
      <c r="AB34" s="10">
        <v>8.5169521423346065E-2</v>
      </c>
      <c r="AC34" s="10">
        <v>0.14462106218700971</v>
      </c>
      <c r="AD34" s="10">
        <v>0.15927880292158872</v>
      </c>
      <c r="AE34" s="10">
        <v>0.15323481470929368</v>
      </c>
      <c r="AF34" s="10">
        <v>0.13729451948603222</v>
      </c>
      <c r="AG34" s="10">
        <v>0.15608969598895889</v>
      </c>
      <c r="AH34" s="10">
        <v>0.163037646001296</v>
      </c>
      <c r="AI34" s="10">
        <v>8.6443458705820736E-2</v>
      </c>
      <c r="AJ34" s="10">
        <v>0.49060673664580357</v>
      </c>
      <c r="AK34" s="10">
        <v>0.50939326335419632</v>
      </c>
      <c r="AL34" s="10">
        <v>0</v>
      </c>
      <c r="AM34" s="6">
        <v>1</v>
      </c>
      <c r="AN34" s="8">
        <v>1</v>
      </c>
      <c r="AO34" s="8">
        <v>1</v>
      </c>
      <c r="AP34" s="8">
        <v>1</v>
      </c>
      <c r="AQ34" s="8">
        <v>1</v>
      </c>
      <c r="AR34" s="8">
        <v>0</v>
      </c>
      <c r="AS34" s="64">
        <v>5</v>
      </c>
      <c r="AT34" s="8">
        <v>0.96380870918593065</v>
      </c>
      <c r="AU34" s="8">
        <v>0.7784313419771226</v>
      </c>
      <c r="AV34" s="8">
        <v>0.73209912272841027</v>
      </c>
      <c r="AW34" s="8">
        <v>0.71738980570007738</v>
      </c>
      <c r="AX34" s="8">
        <v>0.81995810528770197</v>
      </c>
      <c r="AY34" s="8">
        <v>1.2733215663014508</v>
      </c>
      <c r="AZ34" s="8">
        <v>1.7149913488193069</v>
      </c>
      <c r="BA34" s="8">
        <v>0.85866807923212196</v>
      </c>
      <c r="BB34" s="8">
        <v>0.70508630336252298</v>
      </c>
      <c r="BC34" s="8">
        <v>0.64239550074949658</v>
      </c>
      <c r="BD34" s="8">
        <v>0.63096300874785816</v>
      </c>
      <c r="BE34" s="8">
        <v>0.86895143804684494</v>
      </c>
      <c r="BF34" s="8">
        <v>1.438821793216017</v>
      </c>
      <c r="BG34" s="8">
        <v>1.8551138766451387</v>
      </c>
      <c r="BH34" s="8">
        <v>0.99939094147294183</v>
      </c>
      <c r="BI34" s="8">
        <v>0.77440908648775464</v>
      </c>
      <c r="BJ34" s="8">
        <v>0.69491027992440613</v>
      </c>
      <c r="BK34" s="8">
        <v>0.64511288696207114</v>
      </c>
      <c r="BL34" s="8">
        <v>0.78936804895881874</v>
      </c>
      <c r="BM34" s="8">
        <v>1.4346868889865885</v>
      </c>
      <c r="BN34" s="8">
        <v>1.6621218672074194</v>
      </c>
      <c r="BO34" s="8">
        <v>0.87990744844656243</v>
      </c>
      <c r="BP34" s="8">
        <v>0.70838109680628603</v>
      </c>
      <c r="BQ34" s="8">
        <v>0.65740312135575352</v>
      </c>
      <c r="BR34" s="8">
        <v>0.62742504812911615</v>
      </c>
      <c r="BS34" s="8">
        <v>0.82004872431975406</v>
      </c>
      <c r="BT34" s="8">
        <v>1.5251577105964262</v>
      </c>
      <c r="BU34" s="8">
        <v>1.7816768503461005</v>
      </c>
      <c r="BV34" s="8">
        <v>0.55084739929956739</v>
      </c>
      <c r="BW34" s="8">
        <v>0.44915260070043256</v>
      </c>
      <c r="BX34" s="8">
        <v>0</v>
      </c>
      <c r="BY34" s="8">
        <v>7</v>
      </c>
      <c r="BZ34" s="8">
        <v>7</v>
      </c>
      <c r="CA34" s="8">
        <v>7</v>
      </c>
      <c r="CB34" s="8">
        <v>7</v>
      </c>
      <c r="CC34" s="8">
        <v>1</v>
      </c>
      <c r="CD34" s="8">
        <v>0</v>
      </c>
      <c r="CE34" s="8">
        <v>29</v>
      </c>
      <c r="CF34" s="9">
        <v>1.7728415022926554</v>
      </c>
      <c r="CG34" s="9">
        <v>1.5023522055983101</v>
      </c>
      <c r="CH34" s="9">
        <v>1.4112477868923432</v>
      </c>
      <c r="CI34" s="9">
        <v>1.3798806230261231</v>
      </c>
      <c r="CJ34" s="9">
        <v>1.5693833281278264</v>
      </c>
      <c r="CK34" s="9">
        <v>2.3302679702916071</v>
      </c>
      <c r="CL34" s="9">
        <v>3.0340265837711353</v>
      </c>
      <c r="CM34" s="9">
        <v>1.6065711797556623</v>
      </c>
      <c r="CN34" s="9">
        <v>1.3657986797755137</v>
      </c>
      <c r="CO34" s="9">
        <v>1.2379160483230767</v>
      </c>
      <c r="CP34" s="9">
        <v>1.2341630102711394</v>
      </c>
      <c r="CQ34" s="9">
        <v>1.6510769889106935</v>
      </c>
      <c r="CR34" s="9">
        <v>2.6367293219552104</v>
      </c>
      <c r="CS34" s="9">
        <v>3.2677447710087044</v>
      </c>
      <c r="CT34" s="9">
        <v>1.853205151586057</v>
      </c>
      <c r="CU34" s="9">
        <v>1.4916389269938519</v>
      </c>
      <c r="CV34" s="9">
        <v>1.3410016283411004</v>
      </c>
      <c r="CW34" s="9">
        <v>1.2522163304725662</v>
      </c>
      <c r="CX34" s="9">
        <v>1.5069500562553357</v>
      </c>
      <c r="CY34" s="9">
        <v>2.6204666125721672</v>
      </c>
      <c r="CZ34" s="9">
        <v>2.9345212937789222</v>
      </c>
      <c r="DA34" s="9">
        <v>1.6530338309525454</v>
      </c>
      <c r="DB34" s="9">
        <v>1.3736463974466504</v>
      </c>
      <c r="DC34" s="9">
        <v>1.2802115941762997</v>
      </c>
      <c r="DD34" s="9">
        <v>1.2128803162788029</v>
      </c>
      <c r="DE34" s="9">
        <v>1.5618875091085371</v>
      </c>
      <c r="DF34" s="9">
        <v>2.7775937213094553</v>
      </c>
      <c r="DG34" s="9">
        <v>3.1407466307277074</v>
      </c>
      <c r="DH34" s="9">
        <v>1.0414541359453708</v>
      </c>
      <c r="DI34" s="9">
        <v>0.95854586405462894</v>
      </c>
      <c r="DJ34" s="9"/>
      <c r="DK34" s="9">
        <v>13</v>
      </c>
      <c r="DL34" s="9">
        <v>13</v>
      </c>
      <c r="DM34" s="9">
        <v>13</v>
      </c>
      <c r="DN34" s="9">
        <v>13</v>
      </c>
      <c r="DO34" s="9">
        <v>2</v>
      </c>
      <c r="DP34" s="9"/>
      <c r="DQ34" s="9">
        <v>54</v>
      </c>
      <c r="DR34" s="8">
        <f>+SUM(Tabla2[[#This Row],[1 gral]:[1 gral]])</f>
        <v>1.7728415022926554</v>
      </c>
      <c r="DS34" s="8">
        <f>+SUM(Tabla2[[#This Row],[1 temm]:[1 temm]])</f>
        <v>0.96380870918593065</v>
      </c>
      <c r="DT34" s="8">
        <f>+SUM(Tabla2[[#This Row],[1 porta]:[1 porta]])</f>
        <v>0.12059800083105997</v>
      </c>
      <c r="DU34" s="8">
        <f>+Tabla2[[#This Row],[GRAL]]-(Tabla2[[#This Row],[TEMM14]]+Tabla2[[#This Row],[PORTA15]])</f>
        <v>0.68843479227566484</v>
      </c>
    </row>
    <row r="35" spans="1:125" hidden="1" x14ac:dyDescent="0.2">
      <c r="A35" s="84" t="s">
        <v>455</v>
      </c>
      <c r="B35" s="84" t="s">
        <v>483</v>
      </c>
      <c r="C35" s="11" t="s">
        <v>451</v>
      </c>
      <c r="D35" s="11">
        <v>2091192</v>
      </c>
      <c r="E35" s="11" t="s">
        <v>403</v>
      </c>
      <c r="F35" s="11" t="s">
        <v>460</v>
      </c>
      <c r="G35" s="43" t="s">
        <v>281</v>
      </c>
      <c r="H35" s="10">
        <v>0.12059800083105997</v>
      </c>
      <c r="I35" s="10">
        <v>0.16789847649467127</v>
      </c>
      <c r="J35" s="10">
        <v>0.1562207193579257</v>
      </c>
      <c r="K35" s="10">
        <v>0.15006952754027642</v>
      </c>
      <c r="L35" s="10">
        <v>0.16374086192033718</v>
      </c>
      <c r="M35" s="10">
        <v>0.14743099948912008</v>
      </c>
      <c r="N35" s="10">
        <v>9.4041414366609274E-2</v>
      </c>
      <c r="O35" s="10">
        <v>0.13456875821488182</v>
      </c>
      <c r="P35" s="10">
        <v>0.15707930258261715</v>
      </c>
      <c r="Q35" s="10">
        <v>0.1366666184667969</v>
      </c>
      <c r="R35" s="10">
        <v>0.15251213813195408</v>
      </c>
      <c r="S35" s="10">
        <v>0.16144595225895933</v>
      </c>
      <c r="T35" s="10">
        <v>0.17017767644203829</v>
      </c>
      <c r="U35" s="10">
        <v>8.7549553902752458E-2</v>
      </c>
      <c r="V35" s="10">
        <v>0.13996353763244257</v>
      </c>
      <c r="W35" s="10">
        <v>0.16408049301484401</v>
      </c>
      <c r="X35" s="10">
        <v>0.14972686275640418</v>
      </c>
      <c r="Y35" s="10">
        <v>0.1463085242518728</v>
      </c>
      <c r="Z35" s="10">
        <v>0.15374768661164634</v>
      </c>
      <c r="AA35" s="10">
        <v>0.16100337430944414</v>
      </c>
      <c r="AB35" s="10">
        <v>8.5169521423346065E-2</v>
      </c>
      <c r="AC35" s="10">
        <v>0.14462106218700971</v>
      </c>
      <c r="AD35" s="10">
        <v>0.15927880292158872</v>
      </c>
      <c r="AE35" s="10">
        <v>0.15323481470929368</v>
      </c>
      <c r="AF35" s="10">
        <v>0.13729451948603222</v>
      </c>
      <c r="AG35" s="10">
        <v>0.15608969598895889</v>
      </c>
      <c r="AH35" s="10">
        <v>0.163037646001296</v>
      </c>
      <c r="AI35" s="10">
        <v>8.6443458705820736E-2</v>
      </c>
      <c r="AJ35" s="10">
        <v>0</v>
      </c>
      <c r="AK35" s="10">
        <v>0</v>
      </c>
      <c r="AL35" s="10">
        <v>0</v>
      </c>
      <c r="AM35" s="6">
        <v>1</v>
      </c>
      <c r="AN35" s="8">
        <v>1</v>
      </c>
      <c r="AO35" s="8">
        <v>1</v>
      </c>
      <c r="AP35" s="8">
        <v>1</v>
      </c>
      <c r="AQ35" s="8">
        <v>0</v>
      </c>
      <c r="AR35" s="8">
        <v>0</v>
      </c>
      <c r="AS35" s="64">
        <v>4</v>
      </c>
      <c r="AT35" s="8">
        <v>0.55074783382053183</v>
      </c>
      <c r="AU35" s="8">
        <v>0.44481790970121293</v>
      </c>
      <c r="AV35" s="8">
        <v>0.41834235584480589</v>
      </c>
      <c r="AW35" s="8">
        <v>0.40993703182861563</v>
      </c>
      <c r="AX35" s="8">
        <v>0.46854748873582969</v>
      </c>
      <c r="AY35" s="8">
        <v>0.72761232360082895</v>
      </c>
      <c r="AZ35" s="8">
        <v>0.97999505646817542</v>
      </c>
      <c r="BA35" s="8">
        <v>0.49066747384692683</v>
      </c>
      <c r="BB35" s="8">
        <v>0.40290645906429884</v>
      </c>
      <c r="BC35" s="8">
        <v>0.36708314328542663</v>
      </c>
      <c r="BD35" s="8">
        <v>0.36055029071306177</v>
      </c>
      <c r="BE35" s="8">
        <v>0.49654367888391138</v>
      </c>
      <c r="BF35" s="8">
        <v>0.82218388183772395</v>
      </c>
      <c r="BG35" s="8">
        <v>1.0600650723686507</v>
      </c>
      <c r="BH35" s="8">
        <v>0.57108053798453817</v>
      </c>
      <c r="BI35" s="8">
        <v>0.44251947799300262</v>
      </c>
      <c r="BJ35" s="8">
        <v>0.39709158852823206</v>
      </c>
      <c r="BK35" s="8">
        <v>0.36863593540689782</v>
      </c>
      <c r="BL35" s="8">
        <v>0.45106745654789643</v>
      </c>
      <c r="BM35" s="8">
        <v>0.81982107942090765</v>
      </c>
      <c r="BN35" s="8">
        <v>0.94978392411852541</v>
      </c>
      <c r="BO35" s="8">
        <v>0.50280425625517855</v>
      </c>
      <c r="BP35" s="8">
        <v>0.40478919817502057</v>
      </c>
      <c r="BQ35" s="8">
        <v>0.37565892648900201</v>
      </c>
      <c r="BR35" s="8">
        <v>0.35852859893092354</v>
      </c>
      <c r="BS35" s="8">
        <v>0.46859927103985943</v>
      </c>
      <c r="BT35" s="8">
        <v>0.87151869176938646</v>
      </c>
      <c r="BU35" s="8">
        <v>1.0181010573406288</v>
      </c>
      <c r="BV35" s="8">
        <v>1.1016947985991348</v>
      </c>
      <c r="BW35" s="8">
        <v>0.89830520140086512</v>
      </c>
      <c r="BX35" s="8">
        <v>0</v>
      </c>
      <c r="BY35" s="8">
        <v>4</v>
      </c>
      <c r="BZ35" s="8">
        <v>4</v>
      </c>
      <c r="CA35" s="8">
        <v>4</v>
      </c>
      <c r="CB35" s="8">
        <v>4</v>
      </c>
      <c r="CC35" s="8">
        <v>2</v>
      </c>
      <c r="CD35" s="8">
        <v>0</v>
      </c>
      <c r="CE35" s="8">
        <v>18</v>
      </c>
      <c r="CF35" s="9">
        <v>1.3597806269272565</v>
      </c>
      <c r="CG35" s="9">
        <v>1.1687387733224004</v>
      </c>
      <c r="CH35" s="9">
        <v>1.0974910200087389</v>
      </c>
      <c r="CI35" s="9">
        <v>1.0724278491546615</v>
      </c>
      <c r="CJ35" s="9">
        <v>1.217972711575954</v>
      </c>
      <c r="CK35" s="9">
        <v>1.7845587275909853</v>
      </c>
      <c r="CL35" s="9">
        <v>2.2990302914200038</v>
      </c>
      <c r="CM35" s="9">
        <v>1.2385705743704674</v>
      </c>
      <c r="CN35" s="9">
        <v>1.0636188354772895</v>
      </c>
      <c r="CO35" s="9">
        <v>0.96260369085900677</v>
      </c>
      <c r="CP35" s="9">
        <v>0.96375029223634301</v>
      </c>
      <c r="CQ35" s="9">
        <v>1.2786692297477598</v>
      </c>
      <c r="CR35" s="9">
        <v>2.0200914105769172</v>
      </c>
      <c r="CS35" s="9">
        <v>2.4726959667322164</v>
      </c>
      <c r="CT35" s="9">
        <v>1.282124613601519</v>
      </c>
      <c r="CU35" s="9">
        <v>1.0491194490008493</v>
      </c>
      <c r="CV35" s="9">
        <v>0.94391003981286836</v>
      </c>
      <c r="CW35" s="9">
        <v>0.88358039506566843</v>
      </c>
      <c r="CX35" s="9">
        <v>1.0558825997074393</v>
      </c>
      <c r="CY35" s="9">
        <v>1.8006455331512594</v>
      </c>
      <c r="CZ35" s="9">
        <v>1.9847373696603969</v>
      </c>
      <c r="DA35" s="9">
        <v>1.150229574697367</v>
      </c>
      <c r="DB35" s="9">
        <v>0.96885719927162983</v>
      </c>
      <c r="DC35" s="9">
        <v>0.9045526676872977</v>
      </c>
      <c r="DD35" s="9">
        <v>0.85435171734787929</v>
      </c>
      <c r="DE35" s="9">
        <v>1.0932882380686777</v>
      </c>
      <c r="DF35" s="9">
        <v>1.9060750295400688</v>
      </c>
      <c r="DG35" s="9">
        <v>2.1226455733870786</v>
      </c>
      <c r="DH35" s="9">
        <v>1.6525421978987023</v>
      </c>
      <c r="DI35" s="9">
        <v>1.3474578021012977</v>
      </c>
      <c r="DJ35" s="9"/>
      <c r="DK35" s="9">
        <v>10</v>
      </c>
      <c r="DL35" s="9">
        <v>10</v>
      </c>
      <c r="DM35" s="9">
        <v>9</v>
      </c>
      <c r="DN35" s="9">
        <v>9</v>
      </c>
      <c r="DO35" s="9">
        <v>3</v>
      </c>
      <c r="DP35" s="9"/>
      <c r="DQ35" s="9">
        <v>41</v>
      </c>
      <c r="DR35" s="8">
        <f>+SUM(Tabla2[[#This Row],[1 gral]:[1 gral]])</f>
        <v>1.3597806269272565</v>
      </c>
      <c r="DS35" s="8">
        <f>+SUM(Tabla2[[#This Row],[1 temm]:[1 temm]])</f>
        <v>0.55074783382053183</v>
      </c>
      <c r="DT35" s="8">
        <f>+SUM(Tabla2[[#This Row],[1 porta]:[1 porta]])</f>
        <v>0.12059800083105997</v>
      </c>
      <c r="DU35" s="8">
        <f>+Tabla2[[#This Row],[GRAL]]-(Tabla2[[#This Row],[TEMM14]]+Tabla2[[#This Row],[PORTA15]])</f>
        <v>0.68843479227566473</v>
      </c>
    </row>
    <row r="36" spans="1:125" hidden="1" x14ac:dyDescent="0.2">
      <c r="A36" s="84" t="s">
        <v>455</v>
      </c>
      <c r="B36" s="84" t="s">
        <v>483</v>
      </c>
      <c r="C36" s="11" t="s">
        <v>450</v>
      </c>
      <c r="D36" s="11">
        <v>2091194</v>
      </c>
      <c r="E36" s="11" t="s">
        <v>404</v>
      </c>
      <c r="F36" s="11" t="s">
        <v>465</v>
      </c>
      <c r="G36" s="43" t="s">
        <v>281</v>
      </c>
      <c r="H36" s="10">
        <v>0.12059800083105997</v>
      </c>
      <c r="I36" s="10">
        <v>0.16789847649467127</v>
      </c>
      <c r="J36" s="10">
        <v>0.1562207193579257</v>
      </c>
      <c r="K36" s="10">
        <v>0.15006952754027642</v>
      </c>
      <c r="L36" s="10">
        <v>0.16374086192033718</v>
      </c>
      <c r="M36" s="10">
        <v>0.14743099948912008</v>
      </c>
      <c r="N36" s="10">
        <v>9.4041414366609274E-2</v>
      </c>
      <c r="O36" s="10">
        <v>0.13456875821488182</v>
      </c>
      <c r="P36" s="10">
        <v>0.15707930258261715</v>
      </c>
      <c r="Q36" s="10">
        <v>0.1366666184667969</v>
      </c>
      <c r="R36" s="10">
        <v>0.15251213813195408</v>
      </c>
      <c r="S36" s="10">
        <v>0.16144595225895933</v>
      </c>
      <c r="T36" s="10">
        <v>0.17017767644203829</v>
      </c>
      <c r="U36" s="10">
        <v>8.7549553902752458E-2</v>
      </c>
      <c r="V36" s="10">
        <v>0.13996353763244257</v>
      </c>
      <c r="W36" s="10">
        <v>0.16408049301484401</v>
      </c>
      <c r="X36" s="10">
        <v>0.14972686275640418</v>
      </c>
      <c r="Y36" s="10">
        <v>0.1463085242518728</v>
      </c>
      <c r="Z36" s="10">
        <v>0.15374768661164634</v>
      </c>
      <c r="AA36" s="10">
        <v>0.16100337430944414</v>
      </c>
      <c r="AB36" s="10">
        <v>8.5169521423346065E-2</v>
      </c>
      <c r="AC36" s="10">
        <v>0.14462106218700971</v>
      </c>
      <c r="AD36" s="10">
        <v>0.15927880292158872</v>
      </c>
      <c r="AE36" s="10">
        <v>0.15323481470929368</v>
      </c>
      <c r="AF36" s="10">
        <v>0.13729451948603222</v>
      </c>
      <c r="AG36" s="10">
        <v>0.15608969598895889</v>
      </c>
      <c r="AH36" s="10">
        <v>0.163037646001296</v>
      </c>
      <c r="AI36" s="10">
        <v>8.6443458705820736E-2</v>
      </c>
      <c r="AJ36" s="10">
        <v>0</v>
      </c>
      <c r="AK36" s="10">
        <v>0</v>
      </c>
      <c r="AL36" s="10">
        <v>0</v>
      </c>
      <c r="AM36" s="6">
        <v>1</v>
      </c>
      <c r="AN36" s="8">
        <v>1</v>
      </c>
      <c r="AO36" s="8">
        <v>1</v>
      </c>
      <c r="AP36" s="8">
        <v>1</v>
      </c>
      <c r="AQ36" s="8">
        <v>0</v>
      </c>
      <c r="AR36" s="8">
        <v>0</v>
      </c>
      <c r="AS36" s="64">
        <v>4</v>
      </c>
      <c r="AT36" s="8">
        <v>0.27537391691026591</v>
      </c>
      <c r="AU36" s="8">
        <v>0.22240895485060647</v>
      </c>
      <c r="AV36" s="8">
        <v>0.20917117792240295</v>
      </c>
      <c r="AW36" s="8">
        <v>0.20496851591430781</v>
      </c>
      <c r="AX36" s="8">
        <v>0.23427374436791484</v>
      </c>
      <c r="AY36" s="8">
        <v>0.36380616180041447</v>
      </c>
      <c r="AZ36" s="8">
        <v>0.48999752823408771</v>
      </c>
      <c r="BA36" s="8">
        <v>0.24533373692346341</v>
      </c>
      <c r="BB36" s="8">
        <v>0.20145322953214942</v>
      </c>
      <c r="BC36" s="8">
        <v>0.18354157164271331</v>
      </c>
      <c r="BD36" s="8">
        <v>0.18027514535653089</v>
      </c>
      <c r="BE36" s="8">
        <v>0.24827183944195569</v>
      </c>
      <c r="BF36" s="8">
        <v>0.41109194091886198</v>
      </c>
      <c r="BG36" s="8">
        <v>0.53003253618432533</v>
      </c>
      <c r="BH36" s="8">
        <v>0.28554026899226909</v>
      </c>
      <c r="BI36" s="8">
        <v>0.22125973899650131</v>
      </c>
      <c r="BJ36" s="8">
        <v>0.19854579426411603</v>
      </c>
      <c r="BK36" s="8">
        <v>0.18431796770344891</v>
      </c>
      <c r="BL36" s="8">
        <v>0.22553372827394821</v>
      </c>
      <c r="BM36" s="8">
        <v>0.40991053971045383</v>
      </c>
      <c r="BN36" s="8">
        <v>0.47489196205926271</v>
      </c>
      <c r="BO36" s="8">
        <v>0.25140212812758927</v>
      </c>
      <c r="BP36" s="8">
        <v>0.20239459908751029</v>
      </c>
      <c r="BQ36" s="8">
        <v>0.187829463244501</v>
      </c>
      <c r="BR36" s="8">
        <v>0.17926429946546177</v>
      </c>
      <c r="BS36" s="8">
        <v>0.23429963551992972</v>
      </c>
      <c r="BT36" s="8">
        <v>0.43575934588469323</v>
      </c>
      <c r="BU36" s="8">
        <v>0.50905052867031442</v>
      </c>
      <c r="BV36" s="8">
        <v>-0.55084739929956739</v>
      </c>
      <c r="BW36" s="8">
        <v>-0.44915260070043256</v>
      </c>
      <c r="BX36" s="8">
        <v>0</v>
      </c>
      <c r="BY36" s="8">
        <v>2</v>
      </c>
      <c r="BZ36" s="8">
        <v>2</v>
      </c>
      <c r="CA36" s="8">
        <v>2</v>
      </c>
      <c r="CB36" s="8">
        <v>2</v>
      </c>
      <c r="CC36" s="8">
        <v>-1</v>
      </c>
      <c r="CD36" s="8">
        <v>0</v>
      </c>
      <c r="CE36" s="8">
        <v>7</v>
      </c>
      <c r="CF36" s="9">
        <v>1.3597806269272565</v>
      </c>
      <c r="CG36" s="9">
        <v>1.1687387733224004</v>
      </c>
      <c r="CH36" s="9">
        <v>1.0974910200087389</v>
      </c>
      <c r="CI36" s="9">
        <v>1.0724278491546615</v>
      </c>
      <c r="CJ36" s="9">
        <v>1.217972711575954</v>
      </c>
      <c r="CK36" s="9">
        <v>1.7845587275909853</v>
      </c>
      <c r="CL36" s="9">
        <v>2.2990302914200038</v>
      </c>
      <c r="CM36" s="9">
        <v>1.2385705743704671</v>
      </c>
      <c r="CN36" s="9">
        <v>1.0636188354772895</v>
      </c>
      <c r="CO36" s="9">
        <v>0.96260369085900677</v>
      </c>
      <c r="CP36" s="9">
        <v>0.96375029223634312</v>
      </c>
      <c r="CQ36" s="9">
        <v>1.27866922974776</v>
      </c>
      <c r="CR36" s="9">
        <v>2.0200914105769172</v>
      </c>
      <c r="CS36" s="9">
        <v>2.4726959667322164</v>
      </c>
      <c r="CT36" s="9">
        <v>1.282124613601519</v>
      </c>
      <c r="CU36" s="9">
        <v>1.0491194490008493</v>
      </c>
      <c r="CV36" s="9">
        <v>0.94391003981286836</v>
      </c>
      <c r="CW36" s="9">
        <v>0.88358039506566843</v>
      </c>
      <c r="CX36" s="9">
        <v>1.0558825997074393</v>
      </c>
      <c r="CY36" s="9">
        <v>1.8006455331512594</v>
      </c>
      <c r="CZ36" s="9">
        <v>1.9847373696603969</v>
      </c>
      <c r="DA36" s="9">
        <v>1.1502295746973668</v>
      </c>
      <c r="DB36" s="9">
        <v>0.96885719927162994</v>
      </c>
      <c r="DC36" s="9">
        <v>0.9045526676872977</v>
      </c>
      <c r="DD36" s="9">
        <v>0.85435171734787929</v>
      </c>
      <c r="DE36" s="9">
        <v>1.0932882380686777</v>
      </c>
      <c r="DF36" s="9">
        <v>1.9060750295400688</v>
      </c>
      <c r="DG36" s="9">
        <v>2.1226455733870786</v>
      </c>
      <c r="DH36" s="9">
        <v>0</v>
      </c>
      <c r="DI36" s="9">
        <v>0</v>
      </c>
      <c r="DJ36" s="9"/>
      <c r="DK36" s="9">
        <v>10</v>
      </c>
      <c r="DL36" s="9">
        <v>10</v>
      </c>
      <c r="DM36" s="9">
        <v>9</v>
      </c>
      <c r="DN36" s="9">
        <v>9</v>
      </c>
      <c r="DO36" s="9">
        <v>0</v>
      </c>
      <c r="DP36" s="9"/>
      <c r="DQ36" s="9">
        <v>38</v>
      </c>
      <c r="DR36" s="8">
        <f>+SUM(Tabla2[[#This Row],[1 gral]:[1 gral]])</f>
        <v>1.3597806269272565</v>
      </c>
      <c r="DS36" s="8">
        <f>+SUM(Tabla2[[#This Row],[1 temm]:[1 temm]])</f>
        <v>0.27537391691026591</v>
      </c>
      <c r="DT36" s="8">
        <f>+SUM(Tabla2[[#This Row],[1 porta]:[1 porta]])</f>
        <v>0.12059800083105997</v>
      </c>
      <c r="DU36" s="8">
        <f>+Tabla2[[#This Row],[GRAL]]-(Tabla2[[#This Row],[TEMM14]]+Tabla2[[#This Row],[PORTA15]])</f>
        <v>0.96380870918593065</v>
      </c>
    </row>
    <row r="37" spans="1:125" hidden="1" x14ac:dyDescent="0.2">
      <c r="A37" s="84" t="s">
        <v>455</v>
      </c>
      <c r="B37" s="84" t="s">
        <v>483</v>
      </c>
      <c r="C37" s="11" t="s">
        <v>451</v>
      </c>
      <c r="D37" s="11">
        <v>2091206</v>
      </c>
      <c r="E37" s="11" t="s">
        <v>405</v>
      </c>
      <c r="F37" s="11" t="s">
        <v>466</v>
      </c>
      <c r="G37" s="43" t="s">
        <v>281</v>
      </c>
      <c r="H37" s="10">
        <v>0.12059800083105997</v>
      </c>
      <c r="I37" s="10">
        <v>0.16789847649467127</v>
      </c>
      <c r="J37" s="10">
        <v>0.1562207193579257</v>
      </c>
      <c r="K37" s="10">
        <v>0.15006952754027642</v>
      </c>
      <c r="L37" s="10">
        <v>0.16374086192033718</v>
      </c>
      <c r="M37" s="10">
        <v>0.14743099948912008</v>
      </c>
      <c r="N37" s="10">
        <v>9.4041414366609274E-2</v>
      </c>
      <c r="O37" s="10">
        <v>0.13456875821488182</v>
      </c>
      <c r="P37" s="10">
        <v>0.15707930258261715</v>
      </c>
      <c r="Q37" s="10">
        <v>0.1366666184667969</v>
      </c>
      <c r="R37" s="10">
        <v>0.15251213813195408</v>
      </c>
      <c r="S37" s="10">
        <v>0.16144595225895933</v>
      </c>
      <c r="T37" s="10">
        <v>0.17017767644203829</v>
      </c>
      <c r="U37" s="10">
        <v>8.7549553902752458E-2</v>
      </c>
      <c r="V37" s="10">
        <v>0.13996353763244257</v>
      </c>
      <c r="W37" s="10">
        <v>0.16408049301484401</v>
      </c>
      <c r="X37" s="10">
        <v>0.14972686275640418</v>
      </c>
      <c r="Y37" s="10">
        <v>0.1463085242518728</v>
      </c>
      <c r="Z37" s="10">
        <v>0.15374768661164634</v>
      </c>
      <c r="AA37" s="10">
        <v>0.16100337430944414</v>
      </c>
      <c r="AB37" s="10">
        <v>8.5169521423346065E-2</v>
      </c>
      <c r="AC37" s="10">
        <v>0.14462106218700971</v>
      </c>
      <c r="AD37" s="10">
        <v>0.15927880292158872</v>
      </c>
      <c r="AE37" s="10">
        <v>0.15323481470929368</v>
      </c>
      <c r="AF37" s="10">
        <v>0.13729451948603222</v>
      </c>
      <c r="AG37" s="10">
        <v>0.15608969598895889</v>
      </c>
      <c r="AH37" s="10">
        <v>0.163037646001296</v>
      </c>
      <c r="AI37" s="10">
        <v>8.6443458705820736E-2</v>
      </c>
      <c r="AJ37" s="10">
        <v>0</v>
      </c>
      <c r="AK37" s="10">
        <v>0</v>
      </c>
      <c r="AL37" s="10">
        <v>0</v>
      </c>
      <c r="AM37" s="6">
        <v>1</v>
      </c>
      <c r="AN37" s="8">
        <v>1</v>
      </c>
      <c r="AO37" s="8">
        <v>1</v>
      </c>
      <c r="AP37" s="8">
        <v>1</v>
      </c>
      <c r="AQ37" s="8">
        <v>0</v>
      </c>
      <c r="AR37" s="8">
        <v>0</v>
      </c>
      <c r="AS37" s="64">
        <v>4</v>
      </c>
      <c r="AT37" s="8">
        <v>0.68843479227566484</v>
      </c>
      <c r="AU37" s="8">
        <v>0.55602238712651619</v>
      </c>
      <c r="AV37" s="8">
        <v>0.52292794480600735</v>
      </c>
      <c r="AW37" s="8">
        <v>0.51242128978576951</v>
      </c>
      <c r="AX37" s="8">
        <v>0.58568436091978715</v>
      </c>
      <c r="AY37" s="8">
        <v>0.90951540450103618</v>
      </c>
      <c r="AZ37" s="8">
        <v>1.2249938205852193</v>
      </c>
      <c r="BA37" s="8">
        <v>0.61333434230865858</v>
      </c>
      <c r="BB37" s="8">
        <v>0.50363307383037359</v>
      </c>
      <c r="BC37" s="8">
        <v>0.4588539291067833</v>
      </c>
      <c r="BD37" s="8">
        <v>0.45068786339132721</v>
      </c>
      <c r="BE37" s="8">
        <v>0.62067959860488919</v>
      </c>
      <c r="BF37" s="8">
        <v>1.027729852297155</v>
      </c>
      <c r="BG37" s="8">
        <v>1.3250813404608133</v>
      </c>
      <c r="BH37" s="8">
        <v>0.71385067248067269</v>
      </c>
      <c r="BI37" s="8">
        <v>0.55314934749125322</v>
      </c>
      <c r="BJ37" s="8">
        <v>0.49636448566029007</v>
      </c>
      <c r="BK37" s="8">
        <v>0.46079491925862226</v>
      </c>
      <c r="BL37" s="8">
        <v>0.56383432068487049</v>
      </c>
      <c r="BM37" s="8">
        <v>1.0247763492761346</v>
      </c>
      <c r="BN37" s="8">
        <v>1.1872299051481567</v>
      </c>
      <c r="BO37" s="8">
        <v>0.62850532031897322</v>
      </c>
      <c r="BP37" s="8">
        <v>0.50598649771877569</v>
      </c>
      <c r="BQ37" s="8">
        <v>0.46957365811125251</v>
      </c>
      <c r="BR37" s="8">
        <v>0.44816074866365441</v>
      </c>
      <c r="BS37" s="8">
        <v>0.58574908879982424</v>
      </c>
      <c r="BT37" s="8">
        <v>1.0893983647117331</v>
      </c>
      <c r="BU37" s="8">
        <v>1.272626321675786</v>
      </c>
      <c r="BV37" s="8">
        <v>0</v>
      </c>
      <c r="BW37" s="8">
        <v>0</v>
      </c>
      <c r="BX37" s="8">
        <v>0</v>
      </c>
      <c r="BY37" s="8">
        <v>5</v>
      </c>
      <c r="BZ37" s="8">
        <v>5</v>
      </c>
      <c r="CA37" s="8">
        <v>5</v>
      </c>
      <c r="CB37" s="8">
        <v>5</v>
      </c>
      <c r="CC37" s="8">
        <v>0</v>
      </c>
      <c r="CD37" s="8">
        <v>0</v>
      </c>
      <c r="CE37" s="8">
        <v>20</v>
      </c>
      <c r="CF37" s="9">
        <v>1.3597806269272565</v>
      </c>
      <c r="CG37" s="9">
        <v>1.1687387733224004</v>
      </c>
      <c r="CH37" s="9">
        <v>1.0974910200087389</v>
      </c>
      <c r="CI37" s="9">
        <v>1.0724278491546615</v>
      </c>
      <c r="CJ37" s="9">
        <v>1.217972711575954</v>
      </c>
      <c r="CK37" s="9">
        <v>1.7845587275909853</v>
      </c>
      <c r="CL37" s="9">
        <v>2.2990302914200038</v>
      </c>
      <c r="CM37" s="9">
        <v>1.2385705743704671</v>
      </c>
      <c r="CN37" s="9">
        <v>1.0636188354772895</v>
      </c>
      <c r="CO37" s="9">
        <v>0.96260369085900677</v>
      </c>
      <c r="CP37" s="9">
        <v>0.96375029223634301</v>
      </c>
      <c r="CQ37" s="9">
        <v>1.2786692297477598</v>
      </c>
      <c r="CR37" s="9">
        <v>2.0200914105769172</v>
      </c>
      <c r="CS37" s="9">
        <v>2.4726959667322164</v>
      </c>
      <c r="CT37" s="9">
        <v>1.4248947480976533</v>
      </c>
      <c r="CU37" s="9">
        <v>1.1597493184990999</v>
      </c>
      <c r="CV37" s="9">
        <v>1.0431829369449264</v>
      </c>
      <c r="CW37" s="9">
        <v>0.97573937891739293</v>
      </c>
      <c r="CX37" s="9">
        <v>1.1686494638444134</v>
      </c>
      <c r="CY37" s="9">
        <v>2.0056008030064865</v>
      </c>
      <c r="CZ37" s="9">
        <v>2.2221833506900284</v>
      </c>
      <c r="DA37" s="9">
        <v>1.2759306387611615</v>
      </c>
      <c r="DB37" s="9">
        <v>1.0700544988153848</v>
      </c>
      <c r="DC37" s="9">
        <v>0.9984673993095482</v>
      </c>
      <c r="DD37" s="9">
        <v>0.94398386708061022</v>
      </c>
      <c r="DE37" s="9">
        <v>1.2104380558286425</v>
      </c>
      <c r="DF37" s="9">
        <v>2.1239547024824157</v>
      </c>
      <c r="DG37" s="9">
        <v>2.3771708377222356</v>
      </c>
      <c r="DH37" s="9">
        <v>0</v>
      </c>
      <c r="DI37" s="9">
        <v>0</v>
      </c>
      <c r="DJ37" s="9"/>
      <c r="DK37" s="9">
        <v>10</v>
      </c>
      <c r="DL37" s="9">
        <v>10</v>
      </c>
      <c r="DM37" s="9">
        <v>10</v>
      </c>
      <c r="DN37" s="9">
        <v>10</v>
      </c>
      <c r="DO37" s="9">
        <v>0</v>
      </c>
      <c r="DP37" s="9"/>
      <c r="DQ37" s="9">
        <v>40</v>
      </c>
      <c r="DR37" s="8">
        <f>+SUM(Tabla2[[#This Row],[1 gral]:[1 gral]])</f>
        <v>1.3597806269272565</v>
      </c>
      <c r="DS37" s="8">
        <f>+SUM(Tabla2[[#This Row],[1 temm]:[1 temm]])</f>
        <v>0.68843479227566484</v>
      </c>
      <c r="DT37" s="8">
        <f>+SUM(Tabla2[[#This Row],[1 porta]:[1 porta]])</f>
        <v>0.12059800083105997</v>
      </c>
      <c r="DU37" s="8">
        <f>+Tabla2[[#This Row],[GRAL]]-(Tabla2[[#This Row],[TEMM14]]+Tabla2[[#This Row],[PORTA15]])</f>
        <v>0.55074783382053172</v>
      </c>
    </row>
    <row r="38" spans="1:125" hidden="1" x14ac:dyDescent="0.2">
      <c r="A38" s="84" t="s">
        <v>456</v>
      </c>
      <c r="B38" s="84" t="s">
        <v>483</v>
      </c>
      <c r="C38" s="11" t="s">
        <v>453</v>
      </c>
      <c r="D38" s="11">
        <v>2091207</v>
      </c>
      <c r="E38" s="11" t="s">
        <v>406</v>
      </c>
      <c r="F38" s="11" t="s">
        <v>467</v>
      </c>
      <c r="G38" s="43" t="s">
        <v>281</v>
      </c>
      <c r="H38" s="10">
        <v>0.12059800083105997</v>
      </c>
      <c r="I38" s="10">
        <v>0.16789847649467127</v>
      </c>
      <c r="J38" s="10">
        <v>0.1562207193579257</v>
      </c>
      <c r="K38" s="10">
        <v>0.15006952754027642</v>
      </c>
      <c r="L38" s="10">
        <v>0.16374086192033718</v>
      </c>
      <c r="M38" s="10">
        <v>0.14743099948912008</v>
      </c>
      <c r="N38" s="10">
        <v>9.4041414366609274E-2</v>
      </c>
      <c r="O38" s="10">
        <v>0.13456875821488182</v>
      </c>
      <c r="P38" s="10">
        <v>0.15707930258261715</v>
      </c>
      <c r="Q38" s="10">
        <v>0.1366666184667969</v>
      </c>
      <c r="R38" s="10">
        <v>0.15251213813195408</v>
      </c>
      <c r="S38" s="10">
        <v>0.16144595225895933</v>
      </c>
      <c r="T38" s="10">
        <v>0.17017767644203829</v>
      </c>
      <c r="U38" s="10">
        <v>8.7549553902752458E-2</v>
      </c>
      <c r="V38" s="10">
        <v>0.13996353763244257</v>
      </c>
      <c r="W38" s="10">
        <v>0.16408049301484401</v>
      </c>
      <c r="X38" s="10">
        <v>0.14972686275640418</v>
      </c>
      <c r="Y38" s="10">
        <v>0.1463085242518728</v>
      </c>
      <c r="Z38" s="10">
        <v>0.15374768661164634</v>
      </c>
      <c r="AA38" s="10">
        <v>0.16100337430944414</v>
      </c>
      <c r="AB38" s="10">
        <v>8.5169521423346065E-2</v>
      </c>
      <c r="AC38" s="10">
        <v>0.14462106218700971</v>
      </c>
      <c r="AD38" s="10">
        <v>0.15927880292158872</v>
      </c>
      <c r="AE38" s="10">
        <v>0.15323481470929368</v>
      </c>
      <c r="AF38" s="10">
        <v>0.13729451948603222</v>
      </c>
      <c r="AG38" s="10">
        <v>0.15608969598895889</v>
      </c>
      <c r="AH38" s="10">
        <v>0.163037646001296</v>
      </c>
      <c r="AI38" s="10">
        <v>8.6443458705820736E-2</v>
      </c>
      <c r="AJ38" s="10">
        <v>0</v>
      </c>
      <c r="AK38" s="10">
        <v>0</v>
      </c>
      <c r="AL38" s="10">
        <v>0</v>
      </c>
      <c r="AM38" s="6">
        <v>1</v>
      </c>
      <c r="AN38" s="8">
        <v>1</v>
      </c>
      <c r="AO38" s="8">
        <v>1</v>
      </c>
      <c r="AP38" s="8">
        <v>1</v>
      </c>
      <c r="AQ38" s="8">
        <v>0</v>
      </c>
      <c r="AR38" s="8">
        <v>0</v>
      </c>
      <c r="AS38" s="64">
        <v>4</v>
      </c>
      <c r="AT38" s="8">
        <v>0.68843479227566484</v>
      </c>
      <c r="AU38" s="8">
        <v>0.55602238712651619</v>
      </c>
      <c r="AV38" s="8">
        <v>0.52292794480600735</v>
      </c>
      <c r="AW38" s="8">
        <v>0.51242128978576951</v>
      </c>
      <c r="AX38" s="8">
        <v>0.58568436091978715</v>
      </c>
      <c r="AY38" s="8">
        <v>0.90951540450103618</v>
      </c>
      <c r="AZ38" s="8">
        <v>1.2249938205852193</v>
      </c>
      <c r="BA38" s="8">
        <v>0.61333434230865858</v>
      </c>
      <c r="BB38" s="8">
        <v>0.50363307383037359</v>
      </c>
      <c r="BC38" s="8">
        <v>0.4588539291067833</v>
      </c>
      <c r="BD38" s="8">
        <v>0.45068786339132721</v>
      </c>
      <c r="BE38" s="8">
        <v>0.62067959860488919</v>
      </c>
      <c r="BF38" s="8">
        <v>1.027729852297155</v>
      </c>
      <c r="BG38" s="8">
        <v>1.3250813404608133</v>
      </c>
      <c r="BH38" s="8">
        <v>0.57108053798453817</v>
      </c>
      <c r="BI38" s="8">
        <v>0.44251947799300262</v>
      </c>
      <c r="BJ38" s="8">
        <v>0.39709158852823206</v>
      </c>
      <c r="BK38" s="8">
        <v>0.36863593540689782</v>
      </c>
      <c r="BL38" s="8">
        <v>0.45106745654789643</v>
      </c>
      <c r="BM38" s="8">
        <v>0.81982107942090765</v>
      </c>
      <c r="BN38" s="8">
        <v>0.94978392411852541</v>
      </c>
      <c r="BO38" s="8">
        <v>0.50280425625517855</v>
      </c>
      <c r="BP38" s="8">
        <v>0.40478919817502057</v>
      </c>
      <c r="BQ38" s="8">
        <v>0.37565892648900201</v>
      </c>
      <c r="BR38" s="8">
        <v>0.35852859893092354</v>
      </c>
      <c r="BS38" s="8">
        <v>0.46859927103985943</v>
      </c>
      <c r="BT38" s="8">
        <v>0.87151869176938646</v>
      </c>
      <c r="BU38" s="8">
        <v>1.0181010573406288</v>
      </c>
      <c r="BV38" s="8">
        <v>0.55084739929956739</v>
      </c>
      <c r="BW38" s="8">
        <v>0.44915260070043256</v>
      </c>
      <c r="BX38" s="8">
        <v>0</v>
      </c>
      <c r="BY38" s="8">
        <v>5</v>
      </c>
      <c r="BZ38" s="8">
        <v>5</v>
      </c>
      <c r="CA38" s="8">
        <v>4</v>
      </c>
      <c r="CB38" s="8">
        <v>4</v>
      </c>
      <c r="CC38" s="8">
        <v>1</v>
      </c>
      <c r="CD38" s="8">
        <v>0</v>
      </c>
      <c r="CE38" s="8">
        <v>19</v>
      </c>
      <c r="CF38" s="9">
        <v>1.3597806269272565</v>
      </c>
      <c r="CG38" s="9">
        <v>1.1687387733224004</v>
      </c>
      <c r="CH38" s="9">
        <v>1.0974910200087389</v>
      </c>
      <c r="CI38" s="9">
        <v>1.0724278491546615</v>
      </c>
      <c r="CJ38" s="9">
        <v>1.217972711575954</v>
      </c>
      <c r="CK38" s="9">
        <v>1.7845587275909853</v>
      </c>
      <c r="CL38" s="9">
        <v>2.2990302914200038</v>
      </c>
      <c r="CM38" s="9">
        <v>1.2385705743704671</v>
      </c>
      <c r="CN38" s="9">
        <v>1.0636188354772895</v>
      </c>
      <c r="CO38" s="9">
        <v>0.96260369085900677</v>
      </c>
      <c r="CP38" s="9">
        <v>0.96375029223634301</v>
      </c>
      <c r="CQ38" s="9">
        <v>1.2786692297477598</v>
      </c>
      <c r="CR38" s="9">
        <v>2.0200914105769172</v>
      </c>
      <c r="CS38" s="9">
        <v>2.4726959667322164</v>
      </c>
      <c r="CT38" s="9">
        <v>1.282124613601519</v>
      </c>
      <c r="CU38" s="9">
        <v>1.0491194490008493</v>
      </c>
      <c r="CV38" s="9">
        <v>0.94391003981286836</v>
      </c>
      <c r="CW38" s="9">
        <v>0.88358039506566843</v>
      </c>
      <c r="CX38" s="9">
        <v>1.0558825997074393</v>
      </c>
      <c r="CY38" s="9">
        <v>1.8006455331512594</v>
      </c>
      <c r="CZ38" s="9">
        <v>1.9847373696603969</v>
      </c>
      <c r="DA38" s="9">
        <v>1.150229574697367</v>
      </c>
      <c r="DB38" s="9">
        <v>0.96885719927162983</v>
      </c>
      <c r="DC38" s="9">
        <v>0.9045526676872977</v>
      </c>
      <c r="DD38" s="9">
        <v>0.85435171734787929</v>
      </c>
      <c r="DE38" s="9">
        <v>1.0932882380686777</v>
      </c>
      <c r="DF38" s="9">
        <v>1.9060750295400688</v>
      </c>
      <c r="DG38" s="9">
        <v>2.1226455733870786</v>
      </c>
      <c r="DH38" s="9">
        <v>1.6525421978987023</v>
      </c>
      <c r="DI38" s="9">
        <v>1.3474578021012977</v>
      </c>
      <c r="DJ38" s="9"/>
      <c r="DK38" s="9">
        <v>10</v>
      </c>
      <c r="DL38" s="9">
        <v>10</v>
      </c>
      <c r="DM38" s="9">
        <v>9</v>
      </c>
      <c r="DN38" s="9">
        <v>9</v>
      </c>
      <c r="DO38" s="9">
        <v>3</v>
      </c>
      <c r="DP38" s="9"/>
      <c r="DQ38" s="9">
        <v>41</v>
      </c>
      <c r="DR38" s="8">
        <f>+SUM(Tabla2[[#This Row],[1 gral]:[1 gral]])</f>
        <v>1.3597806269272565</v>
      </c>
      <c r="DS38" s="8">
        <f>+SUM(Tabla2[[#This Row],[1 temm]:[1 temm]])</f>
        <v>0.68843479227566484</v>
      </c>
      <c r="DT38" s="8">
        <f>+SUM(Tabla2[[#This Row],[1 porta]:[1 porta]])</f>
        <v>0.12059800083105997</v>
      </c>
      <c r="DU38" s="8">
        <f>+Tabla2[[#This Row],[GRAL]]-(Tabla2[[#This Row],[TEMM14]]+Tabla2[[#This Row],[PORTA15]])</f>
        <v>0.55074783382053172</v>
      </c>
    </row>
    <row r="39" spans="1:125" hidden="1" x14ac:dyDescent="0.2">
      <c r="A39" s="84" t="s">
        <v>455</v>
      </c>
      <c r="B39" s="84" t="s">
        <v>483</v>
      </c>
      <c r="C39" s="11" t="s">
        <v>451</v>
      </c>
      <c r="D39" s="11">
        <v>2091209</v>
      </c>
      <c r="E39" s="11" t="s">
        <v>407</v>
      </c>
      <c r="F39" s="11" t="s">
        <v>460</v>
      </c>
      <c r="G39" s="43" t="s">
        <v>281</v>
      </c>
      <c r="H39" s="10">
        <v>0.12059800083105997</v>
      </c>
      <c r="I39" s="10">
        <v>0.16789847649467127</v>
      </c>
      <c r="J39" s="10">
        <v>0.1562207193579257</v>
      </c>
      <c r="K39" s="10">
        <v>0.15006952754027642</v>
      </c>
      <c r="L39" s="10">
        <v>0.16374086192033718</v>
      </c>
      <c r="M39" s="10">
        <v>0.14743099948912008</v>
      </c>
      <c r="N39" s="10">
        <v>9.4041414366609274E-2</v>
      </c>
      <c r="O39" s="10">
        <v>0.13456875821488182</v>
      </c>
      <c r="P39" s="10">
        <v>0.15707930258261715</v>
      </c>
      <c r="Q39" s="10">
        <v>0.1366666184667969</v>
      </c>
      <c r="R39" s="10">
        <v>0.15251213813195408</v>
      </c>
      <c r="S39" s="10">
        <v>0.16144595225895933</v>
      </c>
      <c r="T39" s="10">
        <v>0.17017767644203829</v>
      </c>
      <c r="U39" s="10">
        <v>8.7549553902752458E-2</v>
      </c>
      <c r="V39" s="10">
        <v>0.13996353763244257</v>
      </c>
      <c r="W39" s="10">
        <v>0.16408049301484401</v>
      </c>
      <c r="X39" s="10">
        <v>0.14972686275640418</v>
      </c>
      <c r="Y39" s="10">
        <v>0.1463085242518728</v>
      </c>
      <c r="Z39" s="10">
        <v>0.15374768661164634</v>
      </c>
      <c r="AA39" s="10">
        <v>0.16100337430944414</v>
      </c>
      <c r="AB39" s="10">
        <v>8.5169521423346065E-2</v>
      </c>
      <c r="AC39" s="10">
        <v>0.14462106218700971</v>
      </c>
      <c r="AD39" s="10">
        <v>0.15927880292158872</v>
      </c>
      <c r="AE39" s="10">
        <v>0.15323481470929368</v>
      </c>
      <c r="AF39" s="10">
        <v>0.13729451948603222</v>
      </c>
      <c r="AG39" s="10">
        <v>0.15608969598895889</v>
      </c>
      <c r="AH39" s="10">
        <v>0.163037646001296</v>
      </c>
      <c r="AI39" s="10">
        <v>8.6443458705820736E-2</v>
      </c>
      <c r="AJ39" s="10">
        <v>0</v>
      </c>
      <c r="AK39" s="10">
        <v>0</v>
      </c>
      <c r="AL39" s="10">
        <v>0</v>
      </c>
      <c r="AM39" s="6">
        <v>1</v>
      </c>
      <c r="AN39" s="8">
        <v>1</v>
      </c>
      <c r="AO39" s="8">
        <v>1</v>
      </c>
      <c r="AP39" s="8">
        <v>1</v>
      </c>
      <c r="AQ39" s="8">
        <v>0</v>
      </c>
      <c r="AR39" s="8">
        <v>0</v>
      </c>
      <c r="AS39" s="64">
        <v>4</v>
      </c>
      <c r="AT39" s="8">
        <v>0.68843479227566484</v>
      </c>
      <c r="AU39" s="8">
        <v>0.55602238712651619</v>
      </c>
      <c r="AV39" s="8">
        <v>0.52292794480600735</v>
      </c>
      <c r="AW39" s="8">
        <v>0.51242128978576951</v>
      </c>
      <c r="AX39" s="8">
        <v>0.58568436091978715</v>
      </c>
      <c r="AY39" s="8">
        <v>0.90951540450103618</v>
      </c>
      <c r="AZ39" s="8">
        <v>1.2249938205852193</v>
      </c>
      <c r="BA39" s="8">
        <v>0.61333434230865858</v>
      </c>
      <c r="BB39" s="8">
        <v>0.50363307383037359</v>
      </c>
      <c r="BC39" s="8">
        <v>0.4588539291067833</v>
      </c>
      <c r="BD39" s="8">
        <v>0.45068786339132721</v>
      </c>
      <c r="BE39" s="8">
        <v>0.62067959860488919</v>
      </c>
      <c r="BF39" s="8">
        <v>1.027729852297155</v>
      </c>
      <c r="BG39" s="8">
        <v>1.3250813404608133</v>
      </c>
      <c r="BH39" s="8">
        <v>0.71385067248067269</v>
      </c>
      <c r="BI39" s="8">
        <v>0.55314934749125322</v>
      </c>
      <c r="BJ39" s="8">
        <v>0.49636448566029007</v>
      </c>
      <c r="BK39" s="8">
        <v>0.46079491925862226</v>
      </c>
      <c r="BL39" s="8">
        <v>0.56383432068487049</v>
      </c>
      <c r="BM39" s="8">
        <v>1.0247763492761346</v>
      </c>
      <c r="BN39" s="8">
        <v>1.1872299051481567</v>
      </c>
      <c r="BO39" s="8">
        <v>0.62850532031897322</v>
      </c>
      <c r="BP39" s="8">
        <v>0.50598649771877569</v>
      </c>
      <c r="BQ39" s="8">
        <v>0.46957365811125251</v>
      </c>
      <c r="BR39" s="8">
        <v>0.44816074866365441</v>
      </c>
      <c r="BS39" s="8">
        <v>0.58574908879982424</v>
      </c>
      <c r="BT39" s="8">
        <v>1.0893983647117331</v>
      </c>
      <c r="BU39" s="8">
        <v>1.272626321675786</v>
      </c>
      <c r="BV39" s="8">
        <v>0</v>
      </c>
      <c r="BW39" s="8">
        <v>0</v>
      </c>
      <c r="BX39" s="8">
        <v>0</v>
      </c>
      <c r="BY39" s="8">
        <v>5</v>
      </c>
      <c r="BZ39" s="8">
        <v>5</v>
      </c>
      <c r="CA39" s="8">
        <v>5</v>
      </c>
      <c r="CB39" s="8">
        <v>5</v>
      </c>
      <c r="CC39" s="8">
        <v>0</v>
      </c>
      <c r="CD39" s="8">
        <v>0</v>
      </c>
      <c r="CE39" s="8">
        <v>20</v>
      </c>
      <c r="CF39" s="9">
        <v>1.3597806269272565</v>
      </c>
      <c r="CG39" s="9">
        <v>1.1687387733224004</v>
      </c>
      <c r="CH39" s="9">
        <v>1.0974910200087389</v>
      </c>
      <c r="CI39" s="9">
        <v>1.0724278491546615</v>
      </c>
      <c r="CJ39" s="9">
        <v>1.217972711575954</v>
      </c>
      <c r="CK39" s="9">
        <v>1.7845587275909853</v>
      </c>
      <c r="CL39" s="9">
        <v>2.2990302914200038</v>
      </c>
      <c r="CM39" s="9">
        <v>1.2385705743704671</v>
      </c>
      <c r="CN39" s="9">
        <v>1.0636188354772895</v>
      </c>
      <c r="CO39" s="9">
        <v>0.96260369085900677</v>
      </c>
      <c r="CP39" s="9">
        <v>0.96375029223634301</v>
      </c>
      <c r="CQ39" s="9">
        <v>1.2786692297477598</v>
      </c>
      <c r="CR39" s="9">
        <v>2.0200914105769172</v>
      </c>
      <c r="CS39" s="9">
        <v>2.4726959667322164</v>
      </c>
      <c r="CT39" s="9">
        <v>1.4248947480976533</v>
      </c>
      <c r="CU39" s="9">
        <v>1.1597493184990999</v>
      </c>
      <c r="CV39" s="9">
        <v>1.0431829369449264</v>
      </c>
      <c r="CW39" s="9">
        <v>0.97573937891739293</v>
      </c>
      <c r="CX39" s="9">
        <v>1.1686494638444134</v>
      </c>
      <c r="CY39" s="9">
        <v>2.0056008030064865</v>
      </c>
      <c r="CZ39" s="9">
        <v>2.2221833506900284</v>
      </c>
      <c r="DA39" s="9">
        <v>1.2759306387611615</v>
      </c>
      <c r="DB39" s="9">
        <v>1.0700544988153848</v>
      </c>
      <c r="DC39" s="9">
        <v>0.9984673993095482</v>
      </c>
      <c r="DD39" s="9">
        <v>0.94398386708061022</v>
      </c>
      <c r="DE39" s="9">
        <v>1.2104380558286425</v>
      </c>
      <c r="DF39" s="9">
        <v>2.1239547024824157</v>
      </c>
      <c r="DG39" s="9">
        <v>2.3771708377222356</v>
      </c>
      <c r="DH39" s="9">
        <v>0</v>
      </c>
      <c r="DI39" s="9">
        <v>0</v>
      </c>
      <c r="DJ39" s="9"/>
      <c r="DK39" s="9">
        <v>10</v>
      </c>
      <c r="DL39" s="9">
        <v>10</v>
      </c>
      <c r="DM39" s="9">
        <v>10</v>
      </c>
      <c r="DN39" s="9">
        <v>10</v>
      </c>
      <c r="DO39" s="9">
        <v>0</v>
      </c>
      <c r="DP39" s="9"/>
      <c r="DQ39" s="9">
        <v>40</v>
      </c>
      <c r="DR39" s="8">
        <f>+SUM(Tabla2[[#This Row],[1 gral]:[1 gral]])</f>
        <v>1.3597806269272565</v>
      </c>
      <c r="DS39" s="8">
        <f>+SUM(Tabla2[[#This Row],[1 temm]:[1 temm]])</f>
        <v>0.68843479227566484</v>
      </c>
      <c r="DT39" s="8">
        <f>+SUM(Tabla2[[#This Row],[1 porta]:[1 porta]])</f>
        <v>0.12059800083105997</v>
      </c>
      <c r="DU39" s="8">
        <f>+Tabla2[[#This Row],[GRAL]]-(Tabla2[[#This Row],[TEMM14]]+Tabla2[[#This Row],[PORTA15]])</f>
        <v>0.55074783382053172</v>
      </c>
    </row>
    <row r="40" spans="1:125" hidden="1" x14ac:dyDescent="0.2">
      <c r="A40" s="84" t="s">
        <v>455</v>
      </c>
      <c r="B40" s="84" t="s">
        <v>483</v>
      </c>
      <c r="C40" s="11" t="s">
        <v>452</v>
      </c>
      <c r="D40" s="11">
        <v>2091238</v>
      </c>
      <c r="E40" s="11" t="s">
        <v>408</v>
      </c>
      <c r="F40" s="11" t="s">
        <v>468</v>
      </c>
      <c r="G40" s="43" t="s">
        <v>281</v>
      </c>
      <c r="H40" s="10">
        <v>0.12059800083105997</v>
      </c>
      <c r="I40" s="10">
        <v>0.16789847649467127</v>
      </c>
      <c r="J40" s="10">
        <v>0.1562207193579257</v>
      </c>
      <c r="K40" s="10">
        <v>0.15006952754027642</v>
      </c>
      <c r="L40" s="10">
        <v>0.16374086192033718</v>
      </c>
      <c r="M40" s="10">
        <v>0.14743099948912008</v>
      </c>
      <c r="N40" s="10">
        <v>9.4041414366609274E-2</v>
      </c>
      <c r="O40" s="10">
        <v>0.13456875821488182</v>
      </c>
      <c r="P40" s="10">
        <v>0.15707930258261715</v>
      </c>
      <c r="Q40" s="10">
        <v>0.1366666184667969</v>
      </c>
      <c r="R40" s="10">
        <v>0.15251213813195408</v>
      </c>
      <c r="S40" s="10">
        <v>0.16144595225895933</v>
      </c>
      <c r="T40" s="10">
        <v>0.17017767644203829</v>
      </c>
      <c r="U40" s="10">
        <v>8.7549553902752458E-2</v>
      </c>
      <c r="V40" s="10">
        <v>0.13996353763244257</v>
      </c>
      <c r="W40" s="10">
        <v>0.16408049301484401</v>
      </c>
      <c r="X40" s="10">
        <v>0.14972686275640418</v>
      </c>
      <c r="Y40" s="10">
        <v>0.1463085242518728</v>
      </c>
      <c r="Z40" s="10">
        <v>0.15374768661164634</v>
      </c>
      <c r="AA40" s="10">
        <v>0.16100337430944414</v>
      </c>
      <c r="AB40" s="10">
        <v>8.5169521423346065E-2</v>
      </c>
      <c r="AC40" s="10">
        <v>0.14462106218700971</v>
      </c>
      <c r="AD40" s="10">
        <v>0.15927880292158872</v>
      </c>
      <c r="AE40" s="10">
        <v>0.15323481470929368</v>
      </c>
      <c r="AF40" s="10">
        <v>0.13729451948603222</v>
      </c>
      <c r="AG40" s="10">
        <v>0.15608969598895889</v>
      </c>
      <c r="AH40" s="10">
        <v>0.163037646001296</v>
      </c>
      <c r="AI40" s="10">
        <v>8.6443458705820736E-2</v>
      </c>
      <c r="AJ40" s="10">
        <v>0</v>
      </c>
      <c r="AK40" s="10">
        <v>0</v>
      </c>
      <c r="AL40" s="10">
        <v>0</v>
      </c>
      <c r="AM40" s="6">
        <v>1</v>
      </c>
      <c r="AN40" s="8">
        <v>1</v>
      </c>
      <c r="AO40" s="8">
        <v>1</v>
      </c>
      <c r="AP40" s="8">
        <v>1</v>
      </c>
      <c r="AQ40" s="8">
        <v>0</v>
      </c>
      <c r="AR40" s="8">
        <v>0</v>
      </c>
      <c r="AS40" s="64">
        <v>4</v>
      </c>
      <c r="AT40" s="8">
        <v>0.94671975156185773</v>
      </c>
      <c r="AU40" s="8">
        <v>0.83512534104649061</v>
      </c>
      <c r="AV40" s="8">
        <v>0.78373425312513456</v>
      </c>
      <c r="AW40" s="8">
        <v>0.76497507528319986</v>
      </c>
      <c r="AX40" s="8">
        <v>0.86656209502408177</v>
      </c>
      <c r="AY40" s="8">
        <v>1.2388494848903635</v>
      </c>
      <c r="AZ40" s="8">
        <v>1.5640339990688723</v>
      </c>
      <c r="BA40" s="8">
        <v>0.87056996898527206</v>
      </c>
      <c r="BB40" s="8">
        <v>0.76143899117906544</v>
      </c>
      <c r="BC40" s="8">
        <v>0.68729133339493687</v>
      </c>
      <c r="BD40" s="8">
        <v>0.69333757420154674</v>
      </c>
      <c r="BE40" s="8">
        <v>0.90626147058482642</v>
      </c>
      <c r="BF40" s="8">
        <v>1.4034534991986241</v>
      </c>
      <c r="BG40" s="8">
        <v>1.6776471624557285</v>
      </c>
      <c r="BH40" s="8">
        <v>0.8538142101131152</v>
      </c>
      <c r="BI40" s="8">
        <v>0.71722984050609728</v>
      </c>
      <c r="BJ40" s="8">
        <v>0.64609134841669424</v>
      </c>
      <c r="BK40" s="8">
        <v>0.60710344351049506</v>
      </c>
      <c r="BL40" s="8">
        <v>0.71758200729651689</v>
      </c>
      <c r="BM40" s="8">
        <v>1.1857797235855787</v>
      </c>
      <c r="BN40" s="8">
        <v>1.2723994265715028</v>
      </c>
      <c r="BO40" s="8">
        <v>0.77312638250598287</v>
      </c>
      <c r="BP40" s="8">
        <v>0.66526530064036438</v>
      </c>
      <c r="BQ40" s="8">
        <v>0.62280847282054619</v>
      </c>
      <c r="BR40" s="8">
        <v>0.58545526814968663</v>
      </c>
      <c r="BS40" s="8">
        <v>0.74183878478878307</v>
      </c>
      <c r="BT40" s="8">
        <v>1.252436010713029</v>
      </c>
      <c r="BU40" s="8">
        <v>1.3590697803816068</v>
      </c>
      <c r="BV40" s="8">
        <v>6.0240662653763821E-2</v>
      </c>
      <c r="BW40" s="8">
        <v>-6.0240662653763766E-2</v>
      </c>
      <c r="BX40" s="8">
        <v>0</v>
      </c>
      <c r="BY40" s="8">
        <v>7</v>
      </c>
      <c r="BZ40" s="8">
        <v>7</v>
      </c>
      <c r="CA40" s="8">
        <v>6</v>
      </c>
      <c r="CB40" s="8">
        <v>6</v>
      </c>
      <c r="CC40" s="8">
        <v>0</v>
      </c>
      <c r="CD40" s="8">
        <v>0</v>
      </c>
      <c r="CE40" s="8">
        <v>26</v>
      </c>
      <c r="CF40" s="9">
        <v>1.6351545438375226</v>
      </c>
      <c r="CG40" s="9">
        <v>1.3911477281730069</v>
      </c>
      <c r="CH40" s="9">
        <v>1.3066621979311419</v>
      </c>
      <c r="CI40" s="9">
        <v>1.2773963650689693</v>
      </c>
      <c r="CJ40" s="9">
        <v>1.452246455943869</v>
      </c>
      <c r="CK40" s="9">
        <v>2.1483648893913996</v>
      </c>
      <c r="CL40" s="9">
        <v>2.7890278196540916</v>
      </c>
      <c r="CM40" s="9">
        <v>1.4839043112939305</v>
      </c>
      <c r="CN40" s="9">
        <v>1.2650720650094391</v>
      </c>
      <c r="CO40" s="9">
        <v>1.1461452625017201</v>
      </c>
      <c r="CP40" s="9">
        <v>1.144025437592874</v>
      </c>
      <c r="CQ40" s="9">
        <v>1.5269410691897156</v>
      </c>
      <c r="CR40" s="9">
        <v>2.431183351495779</v>
      </c>
      <c r="CS40" s="9">
        <v>3.0027285029165416</v>
      </c>
      <c r="CT40" s="9">
        <v>1.567664882593788</v>
      </c>
      <c r="CU40" s="9">
        <v>1.2703791879973505</v>
      </c>
      <c r="CV40" s="9">
        <v>1.1424558340769844</v>
      </c>
      <c r="CW40" s="9">
        <v>1.0678983627691174</v>
      </c>
      <c r="CX40" s="9">
        <v>1.2814163279813875</v>
      </c>
      <c r="CY40" s="9">
        <v>2.2105560728617135</v>
      </c>
      <c r="CZ40" s="9">
        <v>2.4596293317196594</v>
      </c>
      <c r="DA40" s="9">
        <v>1.4016317028249561</v>
      </c>
      <c r="DB40" s="9">
        <v>1.17125179835914</v>
      </c>
      <c r="DC40" s="9">
        <v>1.0923821309317987</v>
      </c>
      <c r="DD40" s="9">
        <v>1.033616016813341</v>
      </c>
      <c r="DE40" s="9">
        <v>1.3275878735886073</v>
      </c>
      <c r="DF40" s="9">
        <v>2.3418343754247619</v>
      </c>
      <c r="DG40" s="9">
        <v>2.6316961020573926</v>
      </c>
      <c r="DH40" s="9">
        <v>1.1016947985991348</v>
      </c>
      <c r="DI40" s="9">
        <v>0.89830520140086512</v>
      </c>
      <c r="DJ40" s="9"/>
      <c r="DK40" s="9">
        <v>12</v>
      </c>
      <c r="DL40" s="9">
        <v>12</v>
      </c>
      <c r="DM40" s="9">
        <v>11</v>
      </c>
      <c r="DN40" s="9">
        <v>11</v>
      </c>
      <c r="DO40" s="9">
        <v>2</v>
      </c>
      <c r="DP40" s="9"/>
      <c r="DQ40" s="9">
        <v>48</v>
      </c>
      <c r="DR40" s="8">
        <f>+SUM(Tabla2[[#This Row],[1 gral]:[1 gral]])</f>
        <v>1.6351545438375226</v>
      </c>
      <c r="DS40" s="8">
        <f>+SUM(Tabla2[[#This Row],[1 temm]:[1 temm]])</f>
        <v>0.94671975156185773</v>
      </c>
      <c r="DT40" s="8">
        <f>+SUM(Tabla2[[#This Row],[1 porta]:[1 porta]])</f>
        <v>0.12059800083105997</v>
      </c>
      <c r="DU40" s="8">
        <f>+Tabla2[[#This Row],[GRAL]]-(Tabla2[[#This Row],[TEMM14]]+Tabla2[[#This Row],[PORTA15]])</f>
        <v>0.56783679144460497</v>
      </c>
    </row>
    <row r="41" spans="1:125" hidden="1" x14ac:dyDescent="0.2">
      <c r="A41" s="84" t="s">
        <v>456</v>
      </c>
      <c r="B41" s="84" t="s">
        <v>483</v>
      </c>
      <c r="C41" s="11" t="s">
        <v>453</v>
      </c>
      <c r="D41" s="11">
        <v>2091244</v>
      </c>
      <c r="E41" s="11" t="s">
        <v>409</v>
      </c>
      <c r="F41" s="11" t="s">
        <v>467</v>
      </c>
      <c r="G41" s="43" t="s">
        <v>281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0.98121347329160713</v>
      </c>
      <c r="AK41" s="10">
        <v>1.0187865267083926</v>
      </c>
      <c r="AL41" s="10">
        <v>0</v>
      </c>
      <c r="AM41" s="6">
        <v>0</v>
      </c>
      <c r="AN41" s="8">
        <v>0</v>
      </c>
      <c r="AO41" s="8">
        <v>0</v>
      </c>
      <c r="AP41" s="8">
        <v>0</v>
      </c>
      <c r="AQ41" s="8">
        <v>2</v>
      </c>
      <c r="AR41" s="8">
        <v>0</v>
      </c>
      <c r="AS41" s="64">
        <v>2</v>
      </c>
      <c r="AT41" s="8">
        <v>0.13768695845513296</v>
      </c>
      <c r="AU41" s="8">
        <v>0.11120447742530323</v>
      </c>
      <c r="AV41" s="8">
        <v>0.10458558896120147</v>
      </c>
      <c r="AW41" s="8">
        <v>0.10248425795715391</v>
      </c>
      <c r="AX41" s="8">
        <v>0.11713687218395742</v>
      </c>
      <c r="AY41" s="8">
        <v>0.18190308090020724</v>
      </c>
      <c r="AZ41" s="8">
        <v>0.24499876411704385</v>
      </c>
      <c r="BA41" s="8">
        <v>0.12266686846173171</v>
      </c>
      <c r="BB41" s="8">
        <v>0.10072661476607471</v>
      </c>
      <c r="BC41" s="8">
        <v>9.1770785821356657E-2</v>
      </c>
      <c r="BD41" s="8">
        <v>9.0137572678265443E-2</v>
      </c>
      <c r="BE41" s="8">
        <v>0.12413591972097784</v>
      </c>
      <c r="BF41" s="8">
        <v>0.20554597045943099</v>
      </c>
      <c r="BG41" s="8">
        <v>0.26501626809216267</v>
      </c>
      <c r="BH41" s="8">
        <v>0.14277013449613454</v>
      </c>
      <c r="BI41" s="8">
        <v>0.11062986949825065</v>
      </c>
      <c r="BJ41" s="8">
        <v>9.9272897132058016E-2</v>
      </c>
      <c r="BK41" s="8">
        <v>9.2158983851724455E-2</v>
      </c>
      <c r="BL41" s="8">
        <v>0.11276686413697411</v>
      </c>
      <c r="BM41" s="8">
        <v>0.20495526985522691</v>
      </c>
      <c r="BN41" s="8">
        <v>0.23744598102963135</v>
      </c>
      <c r="BO41" s="8">
        <v>0.12570106406379464</v>
      </c>
      <c r="BP41" s="8">
        <v>0.10119729954375514</v>
      </c>
      <c r="BQ41" s="8">
        <v>9.3914731622250502E-2</v>
      </c>
      <c r="BR41" s="8">
        <v>8.9632149732730884E-2</v>
      </c>
      <c r="BS41" s="8">
        <v>0.11714981775996486</v>
      </c>
      <c r="BT41" s="8">
        <v>0.21787967294234661</v>
      </c>
      <c r="BU41" s="8">
        <v>0.25452526433515721</v>
      </c>
      <c r="BV41" s="8">
        <v>1.5923015352449383</v>
      </c>
      <c r="BW41" s="8">
        <v>1.4076984647550614</v>
      </c>
      <c r="BX41" s="8">
        <v>0</v>
      </c>
      <c r="BY41" s="8">
        <v>1</v>
      </c>
      <c r="BZ41" s="8">
        <v>1</v>
      </c>
      <c r="CA41" s="8">
        <v>1</v>
      </c>
      <c r="CB41" s="8">
        <v>1</v>
      </c>
      <c r="CC41" s="8">
        <v>3</v>
      </c>
      <c r="CD41" s="8">
        <v>0</v>
      </c>
      <c r="CE41" s="8">
        <v>7</v>
      </c>
      <c r="CF41" s="9">
        <v>1.2391826260961967</v>
      </c>
      <c r="CG41" s="9">
        <v>1.000840296827729</v>
      </c>
      <c r="CH41" s="9">
        <v>0.9412703006508133</v>
      </c>
      <c r="CI41" s="9">
        <v>0.92235832161438513</v>
      </c>
      <c r="CJ41" s="9">
        <v>1.0542318496556169</v>
      </c>
      <c r="CK41" s="9">
        <v>1.637127728101865</v>
      </c>
      <c r="CL41" s="9">
        <v>2.2049888770533945</v>
      </c>
      <c r="CM41" s="9">
        <v>1.1040018161555853</v>
      </c>
      <c r="CN41" s="9">
        <v>0.90653953289467237</v>
      </c>
      <c r="CO41" s="9">
        <v>0.82593707239220993</v>
      </c>
      <c r="CP41" s="9">
        <v>0.81123815410438893</v>
      </c>
      <c r="CQ41" s="9">
        <v>1.1172232774888007</v>
      </c>
      <c r="CR41" s="9">
        <v>1.8499137341348788</v>
      </c>
      <c r="CS41" s="9">
        <v>2.3851464128294642</v>
      </c>
      <c r="CT41" s="9">
        <v>1.1421610759690763</v>
      </c>
      <c r="CU41" s="9">
        <v>0.88503895598600524</v>
      </c>
      <c r="CV41" s="9">
        <v>0.79418317705646413</v>
      </c>
      <c r="CW41" s="9">
        <v>0.73727187081379564</v>
      </c>
      <c r="CX41" s="9">
        <v>0.90213491309579286</v>
      </c>
      <c r="CY41" s="9">
        <v>1.6396421588418153</v>
      </c>
      <c r="CZ41" s="9">
        <v>1.8995678482370508</v>
      </c>
      <c r="DA41" s="9">
        <v>1.0056085125103571</v>
      </c>
      <c r="DB41" s="9">
        <v>0.80957839635004114</v>
      </c>
      <c r="DC41" s="9">
        <v>0.75131785297800402</v>
      </c>
      <c r="DD41" s="9">
        <v>0.71705719786184707</v>
      </c>
      <c r="DE41" s="9">
        <v>0.93719854207971887</v>
      </c>
      <c r="DF41" s="9">
        <v>1.7430373835387729</v>
      </c>
      <c r="DG41" s="9">
        <v>2.0362021146812577</v>
      </c>
      <c r="DH41" s="9">
        <v>3.1846030704898762</v>
      </c>
      <c r="DI41" s="9">
        <v>2.8153969295101229</v>
      </c>
      <c r="DJ41" s="9"/>
      <c r="DK41" s="9">
        <v>9</v>
      </c>
      <c r="DL41" s="9">
        <v>9</v>
      </c>
      <c r="DM41" s="9">
        <v>8</v>
      </c>
      <c r="DN41" s="9">
        <v>8</v>
      </c>
      <c r="DO41" s="9">
        <v>6</v>
      </c>
      <c r="DP41" s="9"/>
      <c r="DQ41" s="9">
        <v>40</v>
      </c>
      <c r="DR41" s="8">
        <f>+SUM(Tabla2[[#This Row],[1 gral]:[1 gral]])</f>
        <v>1.2391826260961967</v>
      </c>
      <c r="DS41" s="8">
        <f>+SUM(Tabla2[[#This Row],[1 temm]:[1 temm]])</f>
        <v>0.13768695845513296</v>
      </c>
      <c r="DT41" s="8">
        <f>+SUM(Tabla2[[#This Row],[1 porta]:[1 porta]])</f>
        <v>0</v>
      </c>
      <c r="DU41" s="8">
        <f>+Tabla2[[#This Row],[GRAL]]-(Tabla2[[#This Row],[TEMM14]]+Tabla2[[#This Row],[PORTA15]])</f>
        <v>1.1014956676410637</v>
      </c>
    </row>
    <row r="42" spans="1:125" hidden="1" x14ac:dyDescent="0.2">
      <c r="A42" s="84" t="s">
        <v>455</v>
      </c>
      <c r="B42" s="84" t="s">
        <v>483</v>
      </c>
      <c r="C42" s="11" t="s">
        <v>452</v>
      </c>
      <c r="D42" s="11">
        <v>2091372</v>
      </c>
      <c r="E42" s="11" t="s">
        <v>410</v>
      </c>
      <c r="F42" s="11" t="s">
        <v>468</v>
      </c>
      <c r="G42" s="43" t="s">
        <v>280</v>
      </c>
      <c r="H42" s="10">
        <v>0.12059800083105997</v>
      </c>
      <c r="I42" s="10">
        <v>0.16789847649467127</v>
      </c>
      <c r="J42" s="10">
        <v>0.1562207193579257</v>
      </c>
      <c r="K42" s="10">
        <v>0.15006952754027642</v>
      </c>
      <c r="L42" s="10">
        <v>0.16374086192033718</v>
      </c>
      <c r="M42" s="10">
        <v>0.14743099948912008</v>
      </c>
      <c r="N42" s="10">
        <v>9.4041414366609274E-2</v>
      </c>
      <c r="O42" s="10">
        <v>0.13456875821488182</v>
      </c>
      <c r="P42" s="10">
        <v>0.15707930258261715</v>
      </c>
      <c r="Q42" s="10">
        <v>0.1366666184667969</v>
      </c>
      <c r="R42" s="10">
        <v>0.15251213813195408</v>
      </c>
      <c r="S42" s="10">
        <v>0.16144595225895933</v>
      </c>
      <c r="T42" s="10">
        <v>0.17017767644203829</v>
      </c>
      <c r="U42" s="10">
        <v>8.7549553902752458E-2</v>
      </c>
      <c r="V42" s="10">
        <v>0.13996353763244257</v>
      </c>
      <c r="W42" s="10">
        <v>0.16408049301484401</v>
      </c>
      <c r="X42" s="10">
        <v>0.14972686275640418</v>
      </c>
      <c r="Y42" s="10">
        <v>0.1463085242518728</v>
      </c>
      <c r="Z42" s="10">
        <v>0.15374768661164634</v>
      </c>
      <c r="AA42" s="10">
        <v>0.16100337430944414</v>
      </c>
      <c r="AB42" s="10">
        <v>8.5169521423346065E-2</v>
      </c>
      <c r="AC42" s="10">
        <v>0.14462106218700971</v>
      </c>
      <c r="AD42" s="10">
        <v>0.15927880292158872</v>
      </c>
      <c r="AE42" s="10">
        <v>0.15323481470929368</v>
      </c>
      <c r="AF42" s="10">
        <v>0.13729451948603222</v>
      </c>
      <c r="AG42" s="10">
        <v>0.15608969598895889</v>
      </c>
      <c r="AH42" s="10">
        <v>0.163037646001296</v>
      </c>
      <c r="AI42" s="10">
        <v>8.6443458705820736E-2</v>
      </c>
      <c r="AJ42" s="10">
        <v>0.49060673664580357</v>
      </c>
      <c r="AK42" s="10">
        <v>0.50939326335419632</v>
      </c>
      <c r="AL42" s="10">
        <v>0</v>
      </c>
      <c r="AM42" s="6">
        <v>1</v>
      </c>
      <c r="AN42" s="8">
        <v>1</v>
      </c>
      <c r="AO42" s="8">
        <v>1</v>
      </c>
      <c r="AP42" s="8">
        <v>1</v>
      </c>
      <c r="AQ42" s="8">
        <v>1</v>
      </c>
      <c r="AR42" s="8">
        <v>0</v>
      </c>
      <c r="AS42" s="64">
        <v>5</v>
      </c>
      <c r="AT42" s="8">
        <v>0.68843479227566484</v>
      </c>
      <c r="AU42" s="8">
        <v>0.55602238712651619</v>
      </c>
      <c r="AV42" s="8">
        <v>0.52292794480600735</v>
      </c>
      <c r="AW42" s="8">
        <v>0.51242128978576951</v>
      </c>
      <c r="AX42" s="8">
        <v>0.58568436091978715</v>
      </c>
      <c r="AY42" s="8">
        <v>0.90951540450103618</v>
      </c>
      <c r="AZ42" s="8">
        <v>1.2249938205852193</v>
      </c>
      <c r="BA42" s="8">
        <v>0.61333434230865858</v>
      </c>
      <c r="BB42" s="8">
        <v>0.50363307383037359</v>
      </c>
      <c r="BC42" s="8">
        <v>0.4588539291067833</v>
      </c>
      <c r="BD42" s="8">
        <v>0.45068786339132721</v>
      </c>
      <c r="BE42" s="8">
        <v>0.62067959860488919</v>
      </c>
      <c r="BF42" s="8">
        <v>1.027729852297155</v>
      </c>
      <c r="BG42" s="8">
        <v>1.3250813404608133</v>
      </c>
      <c r="BH42" s="8">
        <v>0.71385067248067269</v>
      </c>
      <c r="BI42" s="8">
        <v>0.55314934749125322</v>
      </c>
      <c r="BJ42" s="8">
        <v>0.49636448566029007</v>
      </c>
      <c r="BK42" s="8">
        <v>0.46079491925862226</v>
      </c>
      <c r="BL42" s="8">
        <v>0.56383432068487049</v>
      </c>
      <c r="BM42" s="8">
        <v>1.0247763492761346</v>
      </c>
      <c r="BN42" s="8">
        <v>1.1872299051481567</v>
      </c>
      <c r="BO42" s="8">
        <v>0.62850532031897322</v>
      </c>
      <c r="BP42" s="8">
        <v>0.50598649771877569</v>
      </c>
      <c r="BQ42" s="8">
        <v>0.46957365811125251</v>
      </c>
      <c r="BR42" s="8">
        <v>0.44816074866365441</v>
      </c>
      <c r="BS42" s="8">
        <v>0.58574908879982424</v>
      </c>
      <c r="BT42" s="8">
        <v>1.0893983647117331</v>
      </c>
      <c r="BU42" s="8">
        <v>1.272626321675786</v>
      </c>
      <c r="BV42" s="8">
        <v>1.1016947985991348</v>
      </c>
      <c r="BW42" s="8">
        <v>0.89830520140086512</v>
      </c>
      <c r="BX42" s="8">
        <v>0</v>
      </c>
      <c r="BY42" s="8">
        <v>5</v>
      </c>
      <c r="BZ42" s="8">
        <v>5</v>
      </c>
      <c r="CA42" s="8">
        <v>5</v>
      </c>
      <c r="CB42" s="8">
        <v>5</v>
      </c>
      <c r="CC42" s="8">
        <v>2</v>
      </c>
      <c r="CD42" s="8">
        <v>0</v>
      </c>
      <c r="CE42" s="8">
        <v>22</v>
      </c>
      <c r="CF42" s="9">
        <v>1.6351545438375226</v>
      </c>
      <c r="CG42" s="9">
        <v>1.3911477281730069</v>
      </c>
      <c r="CH42" s="9">
        <v>1.3066621979311419</v>
      </c>
      <c r="CI42" s="9">
        <v>1.2773963650689695</v>
      </c>
      <c r="CJ42" s="9">
        <v>1.452246455943869</v>
      </c>
      <c r="CK42" s="9">
        <v>2.1483648893913996</v>
      </c>
      <c r="CL42" s="9">
        <v>2.7890278196540916</v>
      </c>
      <c r="CM42" s="9">
        <v>1.4839043112939305</v>
      </c>
      <c r="CN42" s="9">
        <v>1.2650720650094391</v>
      </c>
      <c r="CO42" s="9">
        <v>1.1461452625017201</v>
      </c>
      <c r="CP42" s="9">
        <v>1.144025437592874</v>
      </c>
      <c r="CQ42" s="9">
        <v>1.5269410691897156</v>
      </c>
      <c r="CR42" s="9">
        <v>2.431183351495779</v>
      </c>
      <c r="CS42" s="9">
        <v>3.0027285029165416</v>
      </c>
      <c r="CT42" s="9">
        <v>1.7104350170899225</v>
      </c>
      <c r="CU42" s="9">
        <v>1.3810090574956013</v>
      </c>
      <c r="CV42" s="9">
        <v>1.2417287312090424</v>
      </c>
      <c r="CW42" s="9">
        <v>1.1600573466208419</v>
      </c>
      <c r="CX42" s="9">
        <v>1.3941831921183616</v>
      </c>
      <c r="CY42" s="9">
        <v>2.4155113427169401</v>
      </c>
      <c r="CZ42" s="9">
        <v>2.6970753127492912</v>
      </c>
      <c r="DA42" s="9">
        <v>1.5273327668887506</v>
      </c>
      <c r="DB42" s="9">
        <v>1.2724490979028953</v>
      </c>
      <c r="DC42" s="9">
        <v>1.1862968625540491</v>
      </c>
      <c r="DD42" s="9">
        <v>1.1232481665460718</v>
      </c>
      <c r="DE42" s="9">
        <v>1.4447376913485721</v>
      </c>
      <c r="DF42" s="9">
        <v>2.5597140483671086</v>
      </c>
      <c r="DG42" s="9">
        <v>2.88622136639255</v>
      </c>
      <c r="DH42" s="9">
        <v>2.6939963338440731</v>
      </c>
      <c r="DI42" s="9">
        <v>2.3060036661559264</v>
      </c>
      <c r="DJ42" s="9"/>
      <c r="DK42" s="9">
        <v>12</v>
      </c>
      <c r="DL42" s="9">
        <v>12</v>
      </c>
      <c r="DM42" s="9">
        <v>12</v>
      </c>
      <c r="DN42" s="9">
        <v>12</v>
      </c>
      <c r="DO42" s="9">
        <v>5</v>
      </c>
      <c r="DP42" s="9"/>
      <c r="DQ42" s="9">
        <v>53</v>
      </c>
      <c r="DR42" s="8">
        <f>+SUM(Tabla2[[#This Row],[1 gral]:[1 gral]])</f>
        <v>1.6351545438375226</v>
      </c>
      <c r="DS42" s="8">
        <f>+SUM(Tabla2[[#This Row],[1 temm]:[1 temm]])</f>
        <v>0.68843479227566484</v>
      </c>
      <c r="DT42" s="8">
        <f>+SUM(Tabla2[[#This Row],[1 porta]:[1 porta]])</f>
        <v>0.12059800083105997</v>
      </c>
      <c r="DU42" s="8">
        <f>+Tabla2[[#This Row],[GRAL]]-(Tabla2[[#This Row],[TEMM14]]+Tabla2[[#This Row],[PORTA15]])</f>
        <v>0.82612175073079774</v>
      </c>
    </row>
    <row r="43" spans="1:125" x14ac:dyDescent="0.2">
      <c r="A43" s="84" t="s">
        <v>99</v>
      </c>
      <c r="B43" s="84" t="s">
        <v>482</v>
      </c>
      <c r="C43" s="11" t="s">
        <v>127</v>
      </c>
      <c r="D43" s="11">
        <v>2091438</v>
      </c>
      <c r="E43" s="11" t="s">
        <v>33</v>
      </c>
      <c r="F43" s="11" t="s">
        <v>312</v>
      </c>
      <c r="G43" s="43" t="s">
        <v>280</v>
      </c>
      <c r="H43" s="10">
        <v>0.12059800083105997</v>
      </c>
      <c r="I43" s="10">
        <v>0.16789847649467127</v>
      </c>
      <c r="J43" s="10">
        <v>0.1562207193579257</v>
      </c>
      <c r="K43" s="10">
        <v>0.15006952754027642</v>
      </c>
      <c r="L43" s="10">
        <v>0.16374086192033718</v>
      </c>
      <c r="M43" s="10">
        <v>0.14743099948912008</v>
      </c>
      <c r="N43" s="10">
        <v>9.4041414366609274E-2</v>
      </c>
      <c r="O43" s="10">
        <v>0.13456875821488182</v>
      </c>
      <c r="P43" s="10">
        <v>0.15707930258261715</v>
      </c>
      <c r="Q43" s="10">
        <v>0.1366666184667969</v>
      </c>
      <c r="R43" s="10">
        <v>0.15251213813195408</v>
      </c>
      <c r="S43" s="10">
        <v>0.16144595225895933</v>
      </c>
      <c r="T43" s="10">
        <v>0.17017767644203829</v>
      </c>
      <c r="U43" s="10">
        <v>8.7549553902752458E-2</v>
      </c>
      <c r="V43" s="10">
        <v>0.13996353763244257</v>
      </c>
      <c r="W43" s="10">
        <v>0.16408049301484401</v>
      </c>
      <c r="X43" s="10">
        <v>0.14972686275640418</v>
      </c>
      <c r="Y43" s="10">
        <v>0.1463085242518728</v>
      </c>
      <c r="Z43" s="10">
        <v>0.15374768661164634</v>
      </c>
      <c r="AA43" s="10">
        <v>0.16100337430944414</v>
      </c>
      <c r="AB43" s="10">
        <v>8.5169521423346065E-2</v>
      </c>
      <c r="AC43" s="10">
        <v>0.14462106218700971</v>
      </c>
      <c r="AD43" s="10">
        <v>0.15927880292158872</v>
      </c>
      <c r="AE43" s="10">
        <v>0.15323481470929368</v>
      </c>
      <c r="AF43" s="10">
        <v>0.13729451948603222</v>
      </c>
      <c r="AG43" s="10">
        <v>0.15608969598895889</v>
      </c>
      <c r="AH43" s="10">
        <v>0.163037646001296</v>
      </c>
      <c r="AI43" s="10">
        <v>8.6443458705820736E-2</v>
      </c>
      <c r="AJ43" s="10">
        <v>0.49060673664580357</v>
      </c>
      <c r="AK43" s="10">
        <v>0.50939326335419632</v>
      </c>
      <c r="AL43" s="10">
        <v>0</v>
      </c>
      <c r="AM43" s="6">
        <v>1</v>
      </c>
      <c r="AN43" s="8">
        <v>1</v>
      </c>
      <c r="AO43" s="8">
        <v>1</v>
      </c>
      <c r="AP43" s="8">
        <v>1</v>
      </c>
      <c r="AQ43" s="8">
        <v>1</v>
      </c>
      <c r="AR43" s="8">
        <v>0</v>
      </c>
      <c r="AS43" s="87">
        <v>5</v>
      </c>
      <c r="AT43" s="8">
        <v>0.68843479227566484</v>
      </c>
      <c r="AU43" s="8">
        <v>0.55602238712651619</v>
      </c>
      <c r="AV43" s="8">
        <v>0.52292794480600735</v>
      </c>
      <c r="AW43" s="8">
        <v>0.51242128978576951</v>
      </c>
      <c r="AX43" s="8">
        <v>0.58568436091978715</v>
      </c>
      <c r="AY43" s="8">
        <v>0.90951540450103618</v>
      </c>
      <c r="AZ43" s="8">
        <v>1.2249938205852193</v>
      </c>
      <c r="BA43" s="8">
        <v>0.61333434230865858</v>
      </c>
      <c r="BB43" s="8">
        <v>0.50363307383037359</v>
      </c>
      <c r="BC43" s="8">
        <v>0.4588539291067833</v>
      </c>
      <c r="BD43" s="8">
        <v>0.45068786339132721</v>
      </c>
      <c r="BE43" s="8">
        <v>0.62067959860488919</v>
      </c>
      <c r="BF43" s="8">
        <v>1.027729852297155</v>
      </c>
      <c r="BG43" s="8">
        <v>1.3250813404608133</v>
      </c>
      <c r="BH43" s="8">
        <v>0.71385067248067269</v>
      </c>
      <c r="BI43" s="8">
        <v>0.55314934749125322</v>
      </c>
      <c r="BJ43" s="8">
        <v>0.49636448566029007</v>
      </c>
      <c r="BK43" s="8">
        <v>0.46079491925862226</v>
      </c>
      <c r="BL43" s="8">
        <v>0.56383432068487049</v>
      </c>
      <c r="BM43" s="8">
        <v>1.0247763492761346</v>
      </c>
      <c r="BN43" s="8">
        <v>1.1872299051481567</v>
      </c>
      <c r="BO43" s="8">
        <v>0.62850532031897322</v>
      </c>
      <c r="BP43" s="8">
        <v>0.50598649771877569</v>
      </c>
      <c r="BQ43" s="8">
        <v>0.46957365811125251</v>
      </c>
      <c r="BR43" s="8">
        <v>0.44816074866365441</v>
      </c>
      <c r="BS43" s="8">
        <v>0.58574908879982424</v>
      </c>
      <c r="BT43" s="8">
        <v>1.0893983647117331</v>
      </c>
      <c r="BU43" s="8">
        <v>1.272626321675786</v>
      </c>
      <c r="BV43" s="8">
        <v>0</v>
      </c>
      <c r="BW43" s="8">
        <v>0</v>
      </c>
      <c r="BX43" s="8">
        <v>0</v>
      </c>
      <c r="BY43" s="8">
        <v>5</v>
      </c>
      <c r="BZ43" s="8">
        <v>5</v>
      </c>
      <c r="CA43" s="8">
        <v>5</v>
      </c>
      <c r="CB43" s="8">
        <v>5</v>
      </c>
      <c r="CC43" s="8">
        <v>0</v>
      </c>
      <c r="CD43" s="8">
        <v>0</v>
      </c>
      <c r="CE43" s="8">
        <v>20</v>
      </c>
      <c r="CF43" s="9">
        <v>2.0482154192029216</v>
      </c>
      <c r="CG43" s="9">
        <v>1.7247611604489164</v>
      </c>
      <c r="CH43" s="9">
        <v>1.6204189648147462</v>
      </c>
      <c r="CI43" s="9">
        <v>1.5848491389404311</v>
      </c>
      <c r="CJ43" s="9">
        <v>1.8036570724957413</v>
      </c>
      <c r="CK43" s="9">
        <v>2.6940741320920214</v>
      </c>
      <c r="CL43" s="9">
        <v>3.5240241120052231</v>
      </c>
      <c r="CM43" s="9">
        <v>1.8519049166791257</v>
      </c>
      <c r="CN43" s="9">
        <v>1.5672519093076631</v>
      </c>
      <c r="CO43" s="9">
        <v>1.42145761996579</v>
      </c>
      <c r="CP43" s="9">
        <v>1.4144381556276702</v>
      </c>
      <c r="CQ43" s="9">
        <v>1.8993488283526492</v>
      </c>
      <c r="CR43" s="9">
        <v>3.0478212628740717</v>
      </c>
      <c r="CS43" s="9">
        <v>3.7977773071930301</v>
      </c>
      <c r="CT43" s="9">
        <v>1.9959752860821915</v>
      </c>
      <c r="CU43" s="9">
        <v>1.6022687964921025</v>
      </c>
      <c r="CV43" s="9">
        <v>1.4402745254731584</v>
      </c>
      <c r="CW43" s="9">
        <v>1.3443753143242907</v>
      </c>
      <c r="CX43" s="9">
        <v>1.6197169203923099</v>
      </c>
      <c r="CY43" s="9">
        <v>2.8254218824273938</v>
      </c>
      <c r="CZ43" s="9">
        <v>3.1719672748085537</v>
      </c>
      <c r="DA43" s="9">
        <v>1.77873489501634</v>
      </c>
      <c r="DB43" s="9">
        <v>1.4748436969904055</v>
      </c>
      <c r="DC43" s="9">
        <v>1.3741263257985503</v>
      </c>
      <c r="DD43" s="9">
        <v>1.3025124660115337</v>
      </c>
      <c r="DE43" s="9">
        <v>1.6790373268685019</v>
      </c>
      <c r="DF43" s="9">
        <v>2.9954733942518019</v>
      </c>
      <c r="DG43" s="9">
        <v>3.3952718950628644</v>
      </c>
      <c r="DH43" s="9">
        <v>1.0414541359453708</v>
      </c>
      <c r="DI43" s="9">
        <v>0.95854586405462894</v>
      </c>
      <c r="DJ43" s="9"/>
      <c r="DK43" s="9">
        <v>15</v>
      </c>
      <c r="DL43" s="9">
        <v>15</v>
      </c>
      <c r="DM43" s="9">
        <v>14</v>
      </c>
      <c r="DN43" s="9">
        <v>14</v>
      </c>
      <c r="DO43" s="9">
        <v>2</v>
      </c>
      <c r="DP43" s="9"/>
      <c r="DQ43" s="9">
        <v>60</v>
      </c>
      <c r="DR43" s="8">
        <f>+SUM(Tabla2[[#This Row],[1 gral]:[1 gral]])</f>
        <v>2.0482154192029216</v>
      </c>
      <c r="DS43" s="8">
        <f>+SUM(Tabla2[[#This Row],[1 temm]:[1 temm]])</f>
        <v>0.68843479227566484</v>
      </c>
      <c r="DT43" s="8">
        <f>+SUM(Tabla2[[#This Row],[1 porta]:[1 porta]])</f>
        <v>0.12059800083105997</v>
      </c>
      <c r="DU43" s="8">
        <f>+Tabla2[[#This Row],[GRAL]]-(Tabla2[[#This Row],[TEMM14]]+Tabla2[[#This Row],[PORTA15]])</f>
        <v>1.2391826260961967</v>
      </c>
    </row>
    <row r="44" spans="1:125" hidden="1" x14ac:dyDescent="0.2">
      <c r="A44" s="84" t="s">
        <v>455</v>
      </c>
      <c r="B44" s="84" t="s">
        <v>483</v>
      </c>
      <c r="C44" s="11" t="s">
        <v>450</v>
      </c>
      <c r="D44" s="11">
        <v>2091496</v>
      </c>
      <c r="E44" s="11" t="s">
        <v>411</v>
      </c>
      <c r="F44" s="11" t="s">
        <v>461</v>
      </c>
      <c r="G44" s="43" t="s">
        <v>281</v>
      </c>
      <c r="H44" s="10">
        <v>0.12059800083105997</v>
      </c>
      <c r="I44" s="10">
        <v>0.16789847649467127</v>
      </c>
      <c r="J44" s="10">
        <v>0.1562207193579257</v>
      </c>
      <c r="K44" s="10">
        <v>0.15006952754027642</v>
      </c>
      <c r="L44" s="10">
        <v>0.16374086192033718</v>
      </c>
      <c r="M44" s="10">
        <v>0.14743099948912008</v>
      </c>
      <c r="N44" s="10">
        <v>9.4041414366609274E-2</v>
      </c>
      <c r="O44" s="10">
        <v>0.13456875821488182</v>
      </c>
      <c r="P44" s="10">
        <v>0.15707930258261715</v>
      </c>
      <c r="Q44" s="10">
        <v>0.1366666184667969</v>
      </c>
      <c r="R44" s="10">
        <v>0.15251213813195408</v>
      </c>
      <c r="S44" s="10">
        <v>0.16144595225895933</v>
      </c>
      <c r="T44" s="10">
        <v>0.17017767644203829</v>
      </c>
      <c r="U44" s="10">
        <v>8.7549553902752458E-2</v>
      </c>
      <c r="V44" s="10">
        <v>0.13996353763244257</v>
      </c>
      <c r="W44" s="10">
        <v>0.16408049301484401</v>
      </c>
      <c r="X44" s="10">
        <v>0.14972686275640418</v>
      </c>
      <c r="Y44" s="10">
        <v>0.1463085242518728</v>
      </c>
      <c r="Z44" s="10">
        <v>0.15374768661164634</v>
      </c>
      <c r="AA44" s="10">
        <v>0.16100337430944414</v>
      </c>
      <c r="AB44" s="10">
        <v>8.5169521423346065E-2</v>
      </c>
      <c r="AC44" s="10">
        <v>0.14462106218700971</v>
      </c>
      <c r="AD44" s="10">
        <v>0.15927880292158872</v>
      </c>
      <c r="AE44" s="10">
        <v>0.15323481470929368</v>
      </c>
      <c r="AF44" s="10">
        <v>0.13729451948603222</v>
      </c>
      <c r="AG44" s="10">
        <v>0.15608969598895889</v>
      </c>
      <c r="AH44" s="10">
        <v>0.163037646001296</v>
      </c>
      <c r="AI44" s="10">
        <v>8.6443458705820736E-2</v>
      </c>
      <c r="AJ44" s="10">
        <v>0</v>
      </c>
      <c r="AK44" s="10">
        <v>0</v>
      </c>
      <c r="AL44" s="10">
        <v>0</v>
      </c>
      <c r="AM44" s="6">
        <v>1</v>
      </c>
      <c r="AN44" s="8">
        <v>1</v>
      </c>
      <c r="AO44" s="8">
        <v>1</v>
      </c>
      <c r="AP44" s="8">
        <v>1</v>
      </c>
      <c r="AQ44" s="8">
        <v>0</v>
      </c>
      <c r="AR44" s="8">
        <v>0</v>
      </c>
      <c r="AS44" s="64">
        <v>4</v>
      </c>
      <c r="AT44" s="8">
        <v>0.27537391691026591</v>
      </c>
      <c r="AU44" s="8">
        <v>0.22240895485060647</v>
      </c>
      <c r="AV44" s="8">
        <v>0.20917117792240295</v>
      </c>
      <c r="AW44" s="8">
        <v>0.20496851591430781</v>
      </c>
      <c r="AX44" s="8">
        <v>0.23427374436791484</v>
      </c>
      <c r="AY44" s="8">
        <v>0.36380616180041447</v>
      </c>
      <c r="AZ44" s="8">
        <v>0.48999752823408771</v>
      </c>
      <c r="BA44" s="8">
        <v>0.24533373692346341</v>
      </c>
      <c r="BB44" s="8">
        <v>0.20145322953214942</v>
      </c>
      <c r="BC44" s="8">
        <v>0.18354157164271331</v>
      </c>
      <c r="BD44" s="8">
        <v>0.18027514535653089</v>
      </c>
      <c r="BE44" s="8">
        <v>0.24827183944195569</v>
      </c>
      <c r="BF44" s="8">
        <v>0.41109194091886198</v>
      </c>
      <c r="BG44" s="8">
        <v>0.53003253618432533</v>
      </c>
      <c r="BH44" s="8">
        <v>0.28554026899226909</v>
      </c>
      <c r="BI44" s="8">
        <v>0.22125973899650131</v>
      </c>
      <c r="BJ44" s="8">
        <v>0.19854579426411603</v>
      </c>
      <c r="BK44" s="8">
        <v>0.18431796770344891</v>
      </c>
      <c r="BL44" s="8">
        <v>0.22553372827394821</v>
      </c>
      <c r="BM44" s="8">
        <v>0.40991053971045383</v>
      </c>
      <c r="BN44" s="8">
        <v>0.47489196205926271</v>
      </c>
      <c r="BO44" s="8">
        <v>0.25140212812758927</v>
      </c>
      <c r="BP44" s="8">
        <v>0.20239459908751029</v>
      </c>
      <c r="BQ44" s="8">
        <v>0.187829463244501</v>
      </c>
      <c r="BR44" s="8">
        <v>0.17926429946546177</v>
      </c>
      <c r="BS44" s="8">
        <v>0.23429963551992972</v>
      </c>
      <c r="BT44" s="8">
        <v>0.43575934588469323</v>
      </c>
      <c r="BU44" s="8">
        <v>0.50905052867031442</v>
      </c>
      <c r="BV44" s="8">
        <v>-0.55084739929956739</v>
      </c>
      <c r="BW44" s="8">
        <v>-0.44915260070043256</v>
      </c>
      <c r="BX44" s="8">
        <v>0</v>
      </c>
      <c r="BY44" s="8">
        <v>2</v>
      </c>
      <c r="BZ44" s="8">
        <v>2</v>
      </c>
      <c r="CA44" s="8">
        <v>2</v>
      </c>
      <c r="CB44" s="8">
        <v>2</v>
      </c>
      <c r="CC44" s="8">
        <v>-1</v>
      </c>
      <c r="CD44" s="8">
        <v>0</v>
      </c>
      <c r="CE44" s="8">
        <v>7</v>
      </c>
      <c r="CF44" s="9">
        <v>1.3597806269272565</v>
      </c>
      <c r="CG44" s="9">
        <v>1.1687387733224004</v>
      </c>
      <c r="CH44" s="9">
        <v>1.0974910200087389</v>
      </c>
      <c r="CI44" s="9">
        <v>1.0724278491546615</v>
      </c>
      <c r="CJ44" s="9">
        <v>1.217972711575954</v>
      </c>
      <c r="CK44" s="9">
        <v>1.7845587275909853</v>
      </c>
      <c r="CL44" s="9">
        <v>2.2990302914200038</v>
      </c>
      <c r="CM44" s="9">
        <v>1.2385705743704671</v>
      </c>
      <c r="CN44" s="9">
        <v>1.0636188354772895</v>
      </c>
      <c r="CO44" s="9">
        <v>0.96260369085900677</v>
      </c>
      <c r="CP44" s="9">
        <v>0.96375029223634312</v>
      </c>
      <c r="CQ44" s="9">
        <v>1.27866922974776</v>
      </c>
      <c r="CR44" s="9">
        <v>2.0200914105769172</v>
      </c>
      <c r="CS44" s="9">
        <v>2.4726959667322164</v>
      </c>
      <c r="CT44" s="9">
        <v>1.282124613601519</v>
      </c>
      <c r="CU44" s="9">
        <v>1.0491194490008493</v>
      </c>
      <c r="CV44" s="9">
        <v>0.94391003981286836</v>
      </c>
      <c r="CW44" s="9">
        <v>0.88358039506566843</v>
      </c>
      <c r="CX44" s="9">
        <v>1.0558825997074393</v>
      </c>
      <c r="CY44" s="9">
        <v>1.8006455331512594</v>
      </c>
      <c r="CZ44" s="9">
        <v>1.9847373696603969</v>
      </c>
      <c r="DA44" s="9">
        <v>1.1502295746973668</v>
      </c>
      <c r="DB44" s="9">
        <v>0.96885719927162994</v>
      </c>
      <c r="DC44" s="9">
        <v>0.9045526676872977</v>
      </c>
      <c r="DD44" s="9">
        <v>0.85435171734787929</v>
      </c>
      <c r="DE44" s="9">
        <v>1.0932882380686777</v>
      </c>
      <c r="DF44" s="9">
        <v>1.9060750295400688</v>
      </c>
      <c r="DG44" s="9">
        <v>2.1226455733870786</v>
      </c>
      <c r="DH44" s="9">
        <v>0.55084739929956739</v>
      </c>
      <c r="DI44" s="9">
        <v>0.44915260070043256</v>
      </c>
      <c r="DJ44" s="9"/>
      <c r="DK44" s="9">
        <v>10</v>
      </c>
      <c r="DL44" s="9">
        <v>10</v>
      </c>
      <c r="DM44" s="9">
        <v>9</v>
      </c>
      <c r="DN44" s="9">
        <v>9</v>
      </c>
      <c r="DO44" s="9">
        <v>1</v>
      </c>
      <c r="DP44" s="9"/>
      <c r="DQ44" s="9">
        <v>39</v>
      </c>
      <c r="DR44" s="8">
        <f>+SUM(Tabla2[[#This Row],[1 gral]:[1 gral]])</f>
        <v>1.3597806269272565</v>
      </c>
      <c r="DS44" s="8">
        <f>+SUM(Tabla2[[#This Row],[1 temm]:[1 temm]])</f>
        <v>0.27537391691026591</v>
      </c>
      <c r="DT44" s="8">
        <f>+SUM(Tabla2[[#This Row],[1 porta]:[1 porta]])</f>
        <v>0.12059800083105997</v>
      </c>
      <c r="DU44" s="8">
        <f>+Tabla2[[#This Row],[GRAL]]-(Tabla2[[#This Row],[TEMM14]]+Tabla2[[#This Row],[PORTA15]])</f>
        <v>0.96380870918593065</v>
      </c>
    </row>
    <row r="45" spans="1:125" hidden="1" x14ac:dyDescent="0.2">
      <c r="A45" s="84" t="s">
        <v>455</v>
      </c>
      <c r="B45" s="84" t="s">
        <v>483</v>
      </c>
      <c r="C45" s="11" t="s">
        <v>450</v>
      </c>
      <c r="D45" s="11">
        <v>2091551</v>
      </c>
      <c r="E45" s="11" t="s">
        <v>412</v>
      </c>
      <c r="F45" s="11" t="s">
        <v>460</v>
      </c>
      <c r="G45" s="43" t="s">
        <v>280</v>
      </c>
      <c r="H45" s="10">
        <v>0.36179400249317989</v>
      </c>
      <c r="I45" s="10">
        <v>0.5036954294840138</v>
      </c>
      <c r="J45" s="10">
        <v>0.46866215807377709</v>
      </c>
      <c r="K45" s="10">
        <v>0.45020858262082925</v>
      </c>
      <c r="L45" s="10">
        <v>0.49122258576101152</v>
      </c>
      <c r="M45" s="10">
        <v>0.44229299846736025</v>
      </c>
      <c r="N45" s="10">
        <v>0.28212424309982781</v>
      </c>
      <c r="O45" s="10">
        <v>0.40370627464464548</v>
      </c>
      <c r="P45" s="10">
        <v>0.47123790774785146</v>
      </c>
      <c r="Q45" s="10">
        <v>0.40999985540039069</v>
      </c>
      <c r="R45" s="10">
        <v>0.45753641439586223</v>
      </c>
      <c r="S45" s="10">
        <v>0.48433785677687802</v>
      </c>
      <c r="T45" s="10">
        <v>0.51053302932611488</v>
      </c>
      <c r="U45" s="10">
        <v>0.2626486617082574</v>
      </c>
      <c r="V45" s="10">
        <v>0.55985415052977028</v>
      </c>
      <c r="W45" s="10">
        <v>0.65632197205937604</v>
      </c>
      <c r="X45" s="10">
        <v>0.59890745102561671</v>
      </c>
      <c r="Y45" s="10">
        <v>0.58523409700749118</v>
      </c>
      <c r="Z45" s="10">
        <v>0.61499074644658536</v>
      </c>
      <c r="AA45" s="10">
        <v>0.64401349723777657</v>
      </c>
      <c r="AB45" s="10">
        <v>0.34067808569338426</v>
      </c>
      <c r="AC45" s="10">
        <v>0.57848424874803883</v>
      </c>
      <c r="AD45" s="10">
        <v>0.63711521168635488</v>
      </c>
      <c r="AE45" s="10">
        <v>0.61293925883717471</v>
      </c>
      <c r="AF45" s="10">
        <v>0.54917807794412887</v>
      </c>
      <c r="AG45" s="10">
        <v>0.62435878395583555</v>
      </c>
      <c r="AH45" s="10">
        <v>0.652150584005184</v>
      </c>
      <c r="AI45" s="10">
        <v>0.34577383482328294</v>
      </c>
      <c r="AJ45" s="10">
        <v>0.49060673664580357</v>
      </c>
      <c r="AK45" s="10">
        <v>0.50939326335419632</v>
      </c>
      <c r="AL45" s="10">
        <v>0</v>
      </c>
      <c r="AM45" s="6">
        <v>3</v>
      </c>
      <c r="AN45" s="8">
        <v>3</v>
      </c>
      <c r="AO45" s="8">
        <v>4</v>
      </c>
      <c r="AP45" s="8">
        <v>4</v>
      </c>
      <c r="AQ45" s="8">
        <v>1</v>
      </c>
      <c r="AR45" s="8">
        <v>0</v>
      </c>
      <c r="AS45" s="64">
        <v>15</v>
      </c>
      <c r="AT45" s="8">
        <v>2.6160522106475264</v>
      </c>
      <c r="AU45" s="8">
        <v>2.1128850710807616</v>
      </c>
      <c r="AV45" s="8">
        <v>1.9871261902628279</v>
      </c>
      <c r="AW45" s="8">
        <v>1.9472009011859241</v>
      </c>
      <c r="AX45" s="8">
        <v>2.2256005714951912</v>
      </c>
      <c r="AY45" s="8">
        <v>3.4561585371039376</v>
      </c>
      <c r="AZ45" s="8">
        <v>4.6549765182238332</v>
      </c>
      <c r="BA45" s="8">
        <v>2.3306705007729023</v>
      </c>
      <c r="BB45" s="8">
        <v>1.9138056805554196</v>
      </c>
      <c r="BC45" s="8">
        <v>1.7436449306057764</v>
      </c>
      <c r="BD45" s="8">
        <v>1.7126138808870435</v>
      </c>
      <c r="BE45" s="8">
        <v>2.3585824746985788</v>
      </c>
      <c r="BF45" s="8">
        <v>3.905373438729189</v>
      </c>
      <c r="BG45" s="8">
        <v>5.0353090937510903</v>
      </c>
      <c r="BH45" s="8">
        <v>2.4270922864342874</v>
      </c>
      <c r="BI45" s="8">
        <v>1.8807077814702611</v>
      </c>
      <c r="BJ45" s="8">
        <v>1.6876392512449863</v>
      </c>
      <c r="BK45" s="8">
        <v>1.5667027254793158</v>
      </c>
      <c r="BL45" s="8">
        <v>1.9170366903285598</v>
      </c>
      <c r="BM45" s="8">
        <v>3.4842395875388577</v>
      </c>
      <c r="BN45" s="8">
        <v>4.0365816775037331</v>
      </c>
      <c r="BO45" s="8">
        <v>2.1369180890845088</v>
      </c>
      <c r="BP45" s="8">
        <v>1.7203540922438374</v>
      </c>
      <c r="BQ45" s="8">
        <v>1.5965504375782587</v>
      </c>
      <c r="BR45" s="8">
        <v>1.523746545456425</v>
      </c>
      <c r="BS45" s="8">
        <v>1.9915469019194025</v>
      </c>
      <c r="BT45" s="8">
        <v>3.7039544400198925</v>
      </c>
      <c r="BU45" s="8">
        <v>4.3269294936976728</v>
      </c>
      <c r="BV45" s="8">
        <v>2.2033895971982695</v>
      </c>
      <c r="BW45" s="8">
        <v>1.7966104028017302</v>
      </c>
      <c r="BX45" s="8">
        <v>0</v>
      </c>
      <c r="BY45" s="8">
        <v>19</v>
      </c>
      <c r="BZ45" s="8">
        <v>19</v>
      </c>
      <c r="CA45" s="8">
        <v>17</v>
      </c>
      <c r="CB45" s="8">
        <v>17</v>
      </c>
      <c r="CC45" s="8">
        <v>4</v>
      </c>
      <c r="CD45" s="8">
        <v>0</v>
      </c>
      <c r="CE45" s="8">
        <v>76</v>
      </c>
      <c r="CF45" s="9">
        <v>4.3547157976920357</v>
      </c>
      <c r="CG45" s="9">
        <v>3.7286252748178077</v>
      </c>
      <c r="CH45" s="9">
        <v>3.5016442379486197</v>
      </c>
      <c r="CI45" s="9">
        <v>3.4222520633782922</v>
      </c>
      <c r="CJ45" s="9">
        <v>3.8881918790957766</v>
      </c>
      <c r="CK45" s="9">
        <v>5.7174823445733702</v>
      </c>
      <c r="CL45" s="9">
        <v>7.3870884024940997</v>
      </c>
      <c r="CM45" s="9">
        <v>3.9610454600348648</v>
      </c>
      <c r="CN45" s="9">
        <v>3.3923097359640182</v>
      </c>
      <c r="CO45" s="9">
        <v>3.0713526442197336</v>
      </c>
      <c r="CP45" s="9">
        <v>3.07152602206556</v>
      </c>
      <c r="CQ45" s="9">
        <v>4.0842795286852347</v>
      </c>
      <c r="CR45" s="9">
        <v>6.4713661726496134</v>
      </c>
      <c r="CS45" s="9">
        <v>7.9481204363809743</v>
      </c>
      <c r="CT45" s="9">
        <v>4.2718776474292683</v>
      </c>
      <c r="CU45" s="9">
        <v>3.5326985790138932</v>
      </c>
      <c r="CV45" s="9">
        <v>3.180002776459125</v>
      </c>
      <c r="CW45" s="9">
        <v>2.9813676771523268</v>
      </c>
      <c r="CX45" s="9">
        <v>3.5469292140079123</v>
      </c>
      <c r="CY45" s="9">
        <v>5.9728505134736771</v>
      </c>
      <c r="CZ45" s="9">
        <v>6.5142735924638</v>
      </c>
      <c r="DA45" s="9">
        <v>3.8467119144066997</v>
      </c>
      <c r="DB45" s="9">
        <v>3.2682449998239882</v>
      </c>
      <c r="DC45" s="9">
        <v>3.054722281015688</v>
      </c>
      <c r="DD45" s="9">
        <v>2.8796139709951318</v>
      </c>
      <c r="DE45" s="9">
        <v>3.6702540457149215</v>
      </c>
      <c r="DF45" s="9">
        <v>6.3170220805061961</v>
      </c>
      <c r="DG45" s="9">
        <v>6.9634307075373707</v>
      </c>
      <c r="DH45" s="9">
        <v>3.2448437331436404</v>
      </c>
      <c r="DI45" s="9">
        <v>2.7551562668563592</v>
      </c>
      <c r="DJ45" s="9"/>
      <c r="DK45" s="9">
        <v>32</v>
      </c>
      <c r="DL45" s="9">
        <v>32</v>
      </c>
      <c r="DM45" s="9">
        <v>30</v>
      </c>
      <c r="DN45" s="9">
        <v>30</v>
      </c>
      <c r="DO45" s="9">
        <v>6</v>
      </c>
      <c r="DP45" s="9"/>
      <c r="DQ45" s="9">
        <v>130</v>
      </c>
      <c r="DR45" s="8">
        <f>+SUM(Tabla2[[#This Row],[1 gral]:[1 gral]])</f>
        <v>4.3547157976920357</v>
      </c>
      <c r="DS45" s="8">
        <f>+SUM(Tabla2[[#This Row],[1 temm]:[1 temm]])</f>
        <v>2.6160522106475264</v>
      </c>
      <c r="DT45" s="8">
        <f>+SUM(Tabla2[[#This Row],[1 porta]:[1 porta]])</f>
        <v>0.36179400249317989</v>
      </c>
      <c r="DU45" s="8">
        <f>+Tabla2[[#This Row],[GRAL]]-(Tabla2[[#This Row],[TEMM14]]+Tabla2[[#This Row],[PORTA15]])</f>
        <v>1.3768695845513292</v>
      </c>
    </row>
    <row r="46" spans="1:125" hidden="1" x14ac:dyDescent="0.2">
      <c r="A46" s="84" t="s">
        <v>455</v>
      </c>
      <c r="B46" s="84" t="s">
        <v>483</v>
      </c>
      <c r="C46" s="11" t="s">
        <v>451</v>
      </c>
      <c r="D46" s="11">
        <v>2091565</v>
      </c>
      <c r="E46" s="11" t="s">
        <v>413</v>
      </c>
      <c r="F46" s="11" t="s">
        <v>466</v>
      </c>
      <c r="G46" s="43" t="s">
        <v>280</v>
      </c>
      <c r="H46" s="10">
        <v>0.36179400249317989</v>
      </c>
      <c r="I46" s="10">
        <v>0.5036954294840138</v>
      </c>
      <c r="J46" s="10">
        <v>0.46866215807377709</v>
      </c>
      <c r="K46" s="10">
        <v>0.45020858262082925</v>
      </c>
      <c r="L46" s="10">
        <v>0.49122258576101152</v>
      </c>
      <c r="M46" s="10">
        <v>0.44229299846736025</v>
      </c>
      <c r="N46" s="10">
        <v>0.28212424309982781</v>
      </c>
      <c r="O46" s="10">
        <v>0.40370627464464548</v>
      </c>
      <c r="P46" s="10">
        <v>0.47123790774785146</v>
      </c>
      <c r="Q46" s="10">
        <v>0.40999985540039069</v>
      </c>
      <c r="R46" s="10">
        <v>0.45753641439586223</v>
      </c>
      <c r="S46" s="10">
        <v>0.48433785677687802</v>
      </c>
      <c r="T46" s="10">
        <v>0.51053302932611488</v>
      </c>
      <c r="U46" s="10">
        <v>0.2626486617082574</v>
      </c>
      <c r="V46" s="10">
        <v>0.55985415052977028</v>
      </c>
      <c r="W46" s="10">
        <v>0.65632197205937604</v>
      </c>
      <c r="X46" s="10">
        <v>0.59890745102561671</v>
      </c>
      <c r="Y46" s="10">
        <v>0.58523409700749118</v>
      </c>
      <c r="Z46" s="10">
        <v>0.61499074644658536</v>
      </c>
      <c r="AA46" s="10">
        <v>0.64401349723777657</v>
      </c>
      <c r="AB46" s="10">
        <v>0.34067808569338426</v>
      </c>
      <c r="AC46" s="10">
        <v>0.57848424874803883</v>
      </c>
      <c r="AD46" s="10">
        <v>0.63711521168635488</v>
      </c>
      <c r="AE46" s="10">
        <v>0.61293925883717471</v>
      </c>
      <c r="AF46" s="10">
        <v>0.54917807794412887</v>
      </c>
      <c r="AG46" s="10">
        <v>0.62435878395583555</v>
      </c>
      <c r="AH46" s="10">
        <v>0.652150584005184</v>
      </c>
      <c r="AI46" s="10">
        <v>0.34577383482328294</v>
      </c>
      <c r="AJ46" s="10">
        <v>0.49060673664580357</v>
      </c>
      <c r="AK46" s="10">
        <v>0.50939326335419632</v>
      </c>
      <c r="AL46" s="10">
        <v>0</v>
      </c>
      <c r="AM46" s="6">
        <v>3</v>
      </c>
      <c r="AN46" s="8">
        <v>3</v>
      </c>
      <c r="AO46" s="8">
        <v>4</v>
      </c>
      <c r="AP46" s="8">
        <v>4</v>
      </c>
      <c r="AQ46" s="8">
        <v>1</v>
      </c>
      <c r="AR46" s="8">
        <v>0</v>
      </c>
      <c r="AS46" s="64">
        <v>15</v>
      </c>
      <c r="AT46" s="8">
        <v>2.6160522106475264</v>
      </c>
      <c r="AU46" s="8">
        <v>2.1128850710807616</v>
      </c>
      <c r="AV46" s="8">
        <v>1.9871261902628279</v>
      </c>
      <c r="AW46" s="8">
        <v>1.9472009011859241</v>
      </c>
      <c r="AX46" s="8">
        <v>2.2256005714951912</v>
      </c>
      <c r="AY46" s="8">
        <v>3.4561585371039376</v>
      </c>
      <c r="AZ46" s="8">
        <v>4.6549765182238332</v>
      </c>
      <c r="BA46" s="8">
        <v>2.3306705007729023</v>
      </c>
      <c r="BB46" s="8">
        <v>1.9138056805554196</v>
      </c>
      <c r="BC46" s="8">
        <v>1.7436449306057764</v>
      </c>
      <c r="BD46" s="8">
        <v>1.7126138808870435</v>
      </c>
      <c r="BE46" s="8">
        <v>2.3585824746985788</v>
      </c>
      <c r="BF46" s="8">
        <v>3.905373438729189</v>
      </c>
      <c r="BG46" s="8">
        <v>5.0353090937510903</v>
      </c>
      <c r="BH46" s="8">
        <v>2.5698624209304217</v>
      </c>
      <c r="BI46" s="8">
        <v>1.9913376509685117</v>
      </c>
      <c r="BJ46" s="8">
        <v>1.7869121483770443</v>
      </c>
      <c r="BK46" s="8">
        <v>1.6588617093310403</v>
      </c>
      <c r="BL46" s="8">
        <v>2.0298035544655337</v>
      </c>
      <c r="BM46" s="8">
        <v>3.6891948573940843</v>
      </c>
      <c r="BN46" s="8">
        <v>4.2740276585333641</v>
      </c>
      <c r="BO46" s="8">
        <v>2.2626191531483033</v>
      </c>
      <c r="BP46" s="8">
        <v>1.8215513917875925</v>
      </c>
      <c r="BQ46" s="8">
        <v>1.690465169200509</v>
      </c>
      <c r="BR46" s="8">
        <v>1.613378695189156</v>
      </c>
      <c r="BS46" s="8">
        <v>2.1086967196793673</v>
      </c>
      <c r="BT46" s="8">
        <v>3.9218341129622392</v>
      </c>
      <c r="BU46" s="8">
        <v>4.5814547580328302</v>
      </c>
      <c r="BV46" s="8">
        <v>2.7542369964978368</v>
      </c>
      <c r="BW46" s="8">
        <v>2.2457630035021627</v>
      </c>
      <c r="BX46" s="8">
        <v>0</v>
      </c>
      <c r="BY46" s="8">
        <v>19</v>
      </c>
      <c r="BZ46" s="8">
        <v>19</v>
      </c>
      <c r="CA46" s="8">
        <v>18</v>
      </c>
      <c r="CB46" s="8">
        <v>18</v>
      </c>
      <c r="CC46" s="8">
        <v>5</v>
      </c>
      <c r="CD46" s="8">
        <v>0</v>
      </c>
      <c r="CE46" s="8">
        <v>79</v>
      </c>
      <c r="CF46" s="9">
        <v>3.9416549223266371</v>
      </c>
      <c r="CG46" s="9">
        <v>3.3950118425418978</v>
      </c>
      <c r="CH46" s="9">
        <v>3.1878874710650154</v>
      </c>
      <c r="CI46" s="9">
        <v>3.1147992895068306</v>
      </c>
      <c r="CJ46" s="9">
        <v>3.5367812625439043</v>
      </c>
      <c r="CK46" s="9">
        <v>5.1717731018727484</v>
      </c>
      <c r="CL46" s="9">
        <v>6.6520921101429682</v>
      </c>
      <c r="CM46" s="9">
        <v>3.5930448546496696</v>
      </c>
      <c r="CN46" s="9">
        <v>3.0901298916657938</v>
      </c>
      <c r="CO46" s="9">
        <v>2.7960402867556637</v>
      </c>
      <c r="CP46" s="9">
        <v>2.8011133040307641</v>
      </c>
      <c r="CQ46" s="9">
        <v>3.7118717695223018</v>
      </c>
      <c r="CR46" s="9">
        <v>5.8547282612713207</v>
      </c>
      <c r="CS46" s="9">
        <v>7.1530716321044867</v>
      </c>
      <c r="CT46" s="9">
        <v>3.9863373784369998</v>
      </c>
      <c r="CU46" s="9">
        <v>3.311438840017392</v>
      </c>
      <c r="CV46" s="9">
        <v>2.981456982195009</v>
      </c>
      <c r="CW46" s="9">
        <v>2.7970497094488787</v>
      </c>
      <c r="CX46" s="9">
        <v>3.321395485733964</v>
      </c>
      <c r="CY46" s="9">
        <v>5.5629399737632221</v>
      </c>
      <c r="CZ46" s="9">
        <v>6.0393816304045362</v>
      </c>
      <c r="DA46" s="9">
        <v>3.5953097862791101</v>
      </c>
      <c r="DB46" s="9">
        <v>3.065850400736478</v>
      </c>
      <c r="DC46" s="9">
        <v>2.8668928177711868</v>
      </c>
      <c r="DD46" s="9">
        <v>2.7003496715296702</v>
      </c>
      <c r="DE46" s="9">
        <v>3.4359544101949924</v>
      </c>
      <c r="DF46" s="9">
        <v>5.8812627346215027</v>
      </c>
      <c r="DG46" s="9">
        <v>6.4543801788670567</v>
      </c>
      <c r="DH46" s="9">
        <v>3.7956911324432077</v>
      </c>
      <c r="DI46" s="9">
        <v>3.2043088675567919</v>
      </c>
      <c r="DJ46" s="9"/>
      <c r="DK46" s="9">
        <v>29</v>
      </c>
      <c r="DL46" s="9">
        <v>29</v>
      </c>
      <c r="DM46" s="9">
        <v>28</v>
      </c>
      <c r="DN46" s="9">
        <v>28</v>
      </c>
      <c r="DO46" s="9">
        <v>7</v>
      </c>
      <c r="DP46" s="9"/>
      <c r="DQ46" s="9">
        <v>121</v>
      </c>
      <c r="DR46" s="8">
        <f>+SUM(Tabla2[[#This Row],[1 gral]:[1 gral]])</f>
        <v>3.9416549223266371</v>
      </c>
      <c r="DS46" s="8">
        <f>+SUM(Tabla2[[#This Row],[1 temm]:[1 temm]])</f>
        <v>2.6160522106475264</v>
      </c>
      <c r="DT46" s="8">
        <f>+SUM(Tabla2[[#This Row],[1 porta]:[1 porta]])</f>
        <v>0.36179400249317989</v>
      </c>
      <c r="DU46" s="8">
        <f>+Tabla2[[#This Row],[GRAL]]-(Tabla2[[#This Row],[TEMM14]]+Tabla2[[#This Row],[PORTA15]])</f>
        <v>0.96380870918593065</v>
      </c>
    </row>
    <row r="47" spans="1:125" x14ac:dyDescent="0.2">
      <c r="A47" s="84" t="s">
        <v>99</v>
      </c>
      <c r="B47" s="84" t="s">
        <v>482</v>
      </c>
      <c r="C47" s="11" t="s">
        <v>127</v>
      </c>
      <c r="D47" s="11">
        <v>2091586</v>
      </c>
      <c r="E47" s="11" t="s">
        <v>108</v>
      </c>
      <c r="F47" s="11" t="s">
        <v>313</v>
      </c>
      <c r="G47" s="43" t="s">
        <v>280</v>
      </c>
      <c r="H47" s="10">
        <v>0.12059800083105997</v>
      </c>
      <c r="I47" s="10">
        <v>0.16789847649467127</v>
      </c>
      <c r="J47" s="10">
        <v>0.1562207193579257</v>
      </c>
      <c r="K47" s="10">
        <v>0.15006952754027642</v>
      </c>
      <c r="L47" s="10">
        <v>0.16374086192033718</v>
      </c>
      <c r="M47" s="10">
        <v>0.14743099948912008</v>
      </c>
      <c r="N47" s="10">
        <v>9.4041414366609274E-2</v>
      </c>
      <c r="O47" s="10">
        <v>0.13456875821488182</v>
      </c>
      <c r="P47" s="10">
        <v>0.15707930258261715</v>
      </c>
      <c r="Q47" s="10">
        <v>0.1366666184667969</v>
      </c>
      <c r="R47" s="10">
        <v>0.15251213813195408</v>
      </c>
      <c r="S47" s="10">
        <v>0.16144595225895933</v>
      </c>
      <c r="T47" s="10">
        <v>0.17017767644203829</v>
      </c>
      <c r="U47" s="10">
        <v>8.7549553902752458E-2</v>
      </c>
      <c r="V47" s="10">
        <v>0.13996353763244257</v>
      </c>
      <c r="W47" s="10">
        <v>0.16408049301484401</v>
      </c>
      <c r="X47" s="10">
        <v>0.14972686275640418</v>
      </c>
      <c r="Y47" s="10">
        <v>0.1463085242518728</v>
      </c>
      <c r="Z47" s="10">
        <v>0.15374768661164634</v>
      </c>
      <c r="AA47" s="10">
        <v>0.16100337430944414</v>
      </c>
      <c r="AB47" s="10">
        <v>8.5169521423346065E-2</v>
      </c>
      <c r="AC47" s="10">
        <v>0.14462106218700971</v>
      </c>
      <c r="AD47" s="10">
        <v>0.15927880292158872</v>
      </c>
      <c r="AE47" s="10">
        <v>0.15323481470929368</v>
      </c>
      <c r="AF47" s="10">
        <v>0.13729451948603222</v>
      </c>
      <c r="AG47" s="10">
        <v>0.15608969598895889</v>
      </c>
      <c r="AH47" s="10">
        <v>0.163037646001296</v>
      </c>
      <c r="AI47" s="10">
        <v>8.6443458705820736E-2</v>
      </c>
      <c r="AJ47" s="10">
        <v>0.49060673664580357</v>
      </c>
      <c r="AK47" s="10">
        <v>0.50939326335419632</v>
      </c>
      <c r="AL47" s="10">
        <v>0</v>
      </c>
      <c r="AM47" s="6">
        <v>1</v>
      </c>
      <c r="AN47" s="8">
        <v>1</v>
      </c>
      <c r="AO47" s="8">
        <v>1</v>
      </c>
      <c r="AP47" s="8">
        <v>1</v>
      </c>
      <c r="AQ47" s="8">
        <v>1</v>
      </c>
      <c r="AR47" s="8">
        <v>0</v>
      </c>
      <c r="AS47" s="87">
        <v>5</v>
      </c>
      <c r="AT47" s="8">
        <v>0.68843479227566484</v>
      </c>
      <c r="AU47" s="8">
        <v>0.55602238712651619</v>
      </c>
      <c r="AV47" s="8">
        <v>0.52292794480600735</v>
      </c>
      <c r="AW47" s="8">
        <v>0.51242128978576951</v>
      </c>
      <c r="AX47" s="8">
        <v>0.58568436091978715</v>
      </c>
      <c r="AY47" s="8">
        <v>0.90951540450103618</v>
      </c>
      <c r="AZ47" s="8">
        <v>1.2249938205852193</v>
      </c>
      <c r="BA47" s="8">
        <v>0.61333434230865858</v>
      </c>
      <c r="BB47" s="8">
        <v>0.50363307383037359</v>
      </c>
      <c r="BC47" s="8">
        <v>0.4588539291067833</v>
      </c>
      <c r="BD47" s="8">
        <v>0.45068786339132721</v>
      </c>
      <c r="BE47" s="8">
        <v>0.62067959860488919</v>
      </c>
      <c r="BF47" s="8">
        <v>1.027729852297155</v>
      </c>
      <c r="BG47" s="8">
        <v>1.3250813404608133</v>
      </c>
      <c r="BH47" s="8">
        <v>0.57108053798453817</v>
      </c>
      <c r="BI47" s="8">
        <v>0.44251947799300262</v>
      </c>
      <c r="BJ47" s="8">
        <v>0.39709158852823206</v>
      </c>
      <c r="BK47" s="8">
        <v>0.36863593540689782</v>
      </c>
      <c r="BL47" s="8">
        <v>0.45106745654789643</v>
      </c>
      <c r="BM47" s="8">
        <v>0.81982107942090765</v>
      </c>
      <c r="BN47" s="8">
        <v>0.94978392411852541</v>
      </c>
      <c r="BO47" s="8">
        <v>0.50280425625517855</v>
      </c>
      <c r="BP47" s="8">
        <v>0.40478919817502057</v>
      </c>
      <c r="BQ47" s="8">
        <v>0.37565892648900201</v>
      </c>
      <c r="BR47" s="8">
        <v>0.35852859893092354</v>
      </c>
      <c r="BS47" s="8">
        <v>0.46859927103985943</v>
      </c>
      <c r="BT47" s="8">
        <v>0.87151869176938646</v>
      </c>
      <c r="BU47" s="8">
        <v>1.0181010573406288</v>
      </c>
      <c r="BV47" s="8">
        <v>1.0414541359453708</v>
      </c>
      <c r="BW47" s="8">
        <v>0.95854586405462894</v>
      </c>
      <c r="BX47" s="8">
        <v>0</v>
      </c>
      <c r="BY47" s="8">
        <v>5</v>
      </c>
      <c r="BZ47" s="8">
        <v>5</v>
      </c>
      <c r="CA47" s="8">
        <v>4</v>
      </c>
      <c r="CB47" s="8">
        <v>4</v>
      </c>
      <c r="CC47" s="8">
        <v>2</v>
      </c>
      <c r="CD47" s="8">
        <v>0</v>
      </c>
      <c r="CE47" s="8">
        <v>20</v>
      </c>
      <c r="CF47" s="9">
        <v>1.3597806269272565</v>
      </c>
      <c r="CG47" s="9">
        <v>1.1687387733224004</v>
      </c>
      <c r="CH47" s="9">
        <v>1.0974910200087389</v>
      </c>
      <c r="CI47" s="9">
        <v>1.0724278491546615</v>
      </c>
      <c r="CJ47" s="9">
        <v>1.217972711575954</v>
      </c>
      <c r="CK47" s="9">
        <v>1.7845587275909853</v>
      </c>
      <c r="CL47" s="9">
        <v>2.2990302914200038</v>
      </c>
      <c r="CM47" s="9">
        <v>1.2385705743704671</v>
      </c>
      <c r="CN47" s="9">
        <v>1.0636188354772895</v>
      </c>
      <c r="CO47" s="9">
        <v>0.96260369085900677</v>
      </c>
      <c r="CP47" s="9">
        <v>0.96375029223634301</v>
      </c>
      <c r="CQ47" s="9">
        <v>1.2786692297477598</v>
      </c>
      <c r="CR47" s="9">
        <v>2.0200914105769172</v>
      </c>
      <c r="CS47" s="9">
        <v>2.4726959667322164</v>
      </c>
      <c r="CT47" s="9">
        <v>1.282124613601519</v>
      </c>
      <c r="CU47" s="9">
        <v>1.0491194490008493</v>
      </c>
      <c r="CV47" s="9">
        <v>0.94391003981286836</v>
      </c>
      <c r="CW47" s="9">
        <v>0.88358039506566843</v>
      </c>
      <c r="CX47" s="9">
        <v>1.0558825997074393</v>
      </c>
      <c r="CY47" s="9">
        <v>1.8006455331512594</v>
      </c>
      <c r="CZ47" s="9">
        <v>1.9847373696603969</v>
      </c>
      <c r="DA47" s="9">
        <v>1.150229574697367</v>
      </c>
      <c r="DB47" s="9">
        <v>0.96885719927162983</v>
      </c>
      <c r="DC47" s="9">
        <v>0.9045526676872977</v>
      </c>
      <c r="DD47" s="9">
        <v>0.85435171734787929</v>
      </c>
      <c r="DE47" s="9">
        <v>1.0932882380686777</v>
      </c>
      <c r="DF47" s="9">
        <v>1.9060750295400688</v>
      </c>
      <c r="DG47" s="9">
        <v>2.1226455733870786</v>
      </c>
      <c r="DH47" s="9">
        <v>1.0414541359453708</v>
      </c>
      <c r="DI47" s="9">
        <v>0.95854586405462894</v>
      </c>
      <c r="DJ47" s="9"/>
      <c r="DK47" s="9">
        <v>10</v>
      </c>
      <c r="DL47" s="9">
        <v>10</v>
      </c>
      <c r="DM47" s="9">
        <v>9</v>
      </c>
      <c r="DN47" s="9">
        <v>9</v>
      </c>
      <c r="DO47" s="9">
        <v>2</v>
      </c>
      <c r="DP47" s="9"/>
      <c r="DQ47" s="9">
        <v>40</v>
      </c>
      <c r="DR47" s="8">
        <f>+SUM(Tabla2[[#This Row],[1 gral]:[1 gral]])</f>
        <v>1.3597806269272565</v>
      </c>
      <c r="DS47" s="8">
        <f>+SUM(Tabla2[[#This Row],[1 temm]:[1 temm]])</f>
        <v>0.68843479227566484</v>
      </c>
      <c r="DT47" s="8">
        <f>+SUM(Tabla2[[#This Row],[1 porta]:[1 porta]])</f>
        <v>0.12059800083105997</v>
      </c>
      <c r="DU47" s="8">
        <f>+Tabla2[[#This Row],[GRAL]]-(Tabla2[[#This Row],[TEMM14]]+Tabla2[[#This Row],[PORTA15]])</f>
        <v>0.55074783382053172</v>
      </c>
    </row>
    <row r="48" spans="1:125" x14ac:dyDescent="0.2">
      <c r="A48" s="84" t="s">
        <v>99</v>
      </c>
      <c r="B48" s="84" t="s">
        <v>482</v>
      </c>
      <c r="C48" s="11" t="s">
        <v>127</v>
      </c>
      <c r="D48" s="11">
        <v>2091587</v>
      </c>
      <c r="E48" s="11" t="s">
        <v>36</v>
      </c>
      <c r="F48" s="11" t="s">
        <v>314</v>
      </c>
      <c r="G48" s="43" t="s">
        <v>280</v>
      </c>
      <c r="H48" s="10">
        <v>0.24119600166211994</v>
      </c>
      <c r="I48" s="10">
        <v>0.33579695298934253</v>
      </c>
      <c r="J48" s="10">
        <v>0.31244143871585139</v>
      </c>
      <c r="K48" s="10">
        <v>0.30013905508055283</v>
      </c>
      <c r="L48" s="10">
        <v>0.32748172384067437</v>
      </c>
      <c r="M48" s="10">
        <v>0.29486199897824017</v>
      </c>
      <c r="N48" s="10">
        <v>0.18808282873321855</v>
      </c>
      <c r="O48" s="10">
        <v>0.26913751642976363</v>
      </c>
      <c r="P48" s="10">
        <v>0.31415860516523431</v>
      </c>
      <c r="Q48" s="10">
        <v>0.27333323693359379</v>
      </c>
      <c r="R48" s="10">
        <v>0.30502427626390816</v>
      </c>
      <c r="S48" s="10">
        <v>0.32289190451791866</v>
      </c>
      <c r="T48" s="10">
        <v>0.34035535288407659</v>
      </c>
      <c r="U48" s="10">
        <v>0.17509910780550492</v>
      </c>
      <c r="V48" s="10">
        <v>0.27992707526488514</v>
      </c>
      <c r="W48" s="10">
        <v>0.32816098602968802</v>
      </c>
      <c r="X48" s="10">
        <v>0.29945372551280836</v>
      </c>
      <c r="Y48" s="10">
        <v>0.29261704850374559</v>
      </c>
      <c r="Z48" s="10">
        <v>0.30749537322329268</v>
      </c>
      <c r="AA48" s="10">
        <v>0.32200674861888828</v>
      </c>
      <c r="AB48" s="10">
        <v>0.17033904284669213</v>
      </c>
      <c r="AC48" s="10">
        <v>0.28924212437401942</v>
      </c>
      <c r="AD48" s="10">
        <v>0.31855760584317744</v>
      </c>
      <c r="AE48" s="10">
        <v>0.30646962941858735</v>
      </c>
      <c r="AF48" s="10">
        <v>0.27458903897206444</v>
      </c>
      <c r="AG48" s="10">
        <v>0.31217939197791778</v>
      </c>
      <c r="AH48" s="10">
        <v>0.326075292002592</v>
      </c>
      <c r="AI48" s="10">
        <v>0.17288691741164147</v>
      </c>
      <c r="AJ48" s="10">
        <v>0.98121347329160713</v>
      </c>
      <c r="AK48" s="10">
        <v>1.0187865267083926</v>
      </c>
      <c r="AL48" s="10">
        <v>0</v>
      </c>
      <c r="AM48" s="6">
        <v>2</v>
      </c>
      <c r="AN48" s="8">
        <v>2</v>
      </c>
      <c r="AO48" s="8">
        <v>2</v>
      </c>
      <c r="AP48" s="8">
        <v>2</v>
      </c>
      <c r="AQ48" s="8">
        <v>2</v>
      </c>
      <c r="AR48" s="8">
        <v>0</v>
      </c>
      <c r="AS48" s="64">
        <v>10</v>
      </c>
      <c r="AT48" s="8">
        <v>1.3768695845513297</v>
      </c>
      <c r="AU48" s="8">
        <v>1.1120447742530324</v>
      </c>
      <c r="AV48" s="8">
        <v>1.0458558896120147</v>
      </c>
      <c r="AW48" s="8">
        <v>1.024842579571539</v>
      </c>
      <c r="AX48" s="8">
        <v>1.1713687218395743</v>
      </c>
      <c r="AY48" s="8">
        <v>1.8190308090020724</v>
      </c>
      <c r="AZ48" s="8">
        <v>2.4499876411704387</v>
      </c>
      <c r="BA48" s="8">
        <v>1.2266686846173172</v>
      </c>
      <c r="BB48" s="8">
        <v>1.0072661476607472</v>
      </c>
      <c r="BC48" s="8">
        <v>0.9177078582135666</v>
      </c>
      <c r="BD48" s="8">
        <v>0.90137572678265443</v>
      </c>
      <c r="BE48" s="8">
        <v>1.2413591972097784</v>
      </c>
      <c r="BF48" s="8">
        <v>2.0554597045943099</v>
      </c>
      <c r="BG48" s="8">
        <v>2.6501626809216265</v>
      </c>
      <c r="BH48" s="8">
        <v>1.2849312104652109</v>
      </c>
      <c r="BI48" s="8">
        <v>0.99566882548425584</v>
      </c>
      <c r="BJ48" s="8">
        <v>0.89345607418852213</v>
      </c>
      <c r="BK48" s="8">
        <v>0.82943085466552013</v>
      </c>
      <c r="BL48" s="8">
        <v>1.0149017772327669</v>
      </c>
      <c r="BM48" s="8">
        <v>1.8445974286970421</v>
      </c>
      <c r="BN48" s="8">
        <v>2.137013829266682</v>
      </c>
      <c r="BO48" s="8">
        <v>1.1313095765741517</v>
      </c>
      <c r="BP48" s="8">
        <v>0.91077569589379626</v>
      </c>
      <c r="BQ48" s="8">
        <v>0.84523258460025452</v>
      </c>
      <c r="BR48" s="8">
        <v>0.806689347594578</v>
      </c>
      <c r="BS48" s="8">
        <v>1.0543483598396837</v>
      </c>
      <c r="BT48" s="8">
        <v>1.9609170564811196</v>
      </c>
      <c r="BU48" s="8">
        <v>2.2907273790164151</v>
      </c>
      <c r="BV48" s="8">
        <v>1.1016947985991348</v>
      </c>
      <c r="BW48" s="8">
        <v>0.89830520140086512</v>
      </c>
      <c r="BX48" s="8">
        <v>0</v>
      </c>
      <c r="BY48" s="8">
        <v>10</v>
      </c>
      <c r="BZ48" s="8">
        <v>10</v>
      </c>
      <c r="CA48" s="8">
        <v>9</v>
      </c>
      <c r="CB48" s="8">
        <v>9</v>
      </c>
      <c r="CC48" s="8">
        <v>2</v>
      </c>
      <c r="CD48" s="8">
        <v>0</v>
      </c>
      <c r="CE48" s="8">
        <v>40</v>
      </c>
      <c r="CF48" s="9">
        <v>3.2703090876750451</v>
      </c>
      <c r="CG48" s="9">
        <v>2.7822954563460138</v>
      </c>
      <c r="CH48" s="9">
        <v>2.6133243958622838</v>
      </c>
      <c r="CI48" s="9">
        <v>2.5547927301379389</v>
      </c>
      <c r="CJ48" s="9">
        <v>2.9044929118877381</v>
      </c>
      <c r="CK48" s="9">
        <v>4.2967297787827992</v>
      </c>
      <c r="CL48" s="9">
        <v>5.5780556393081833</v>
      </c>
      <c r="CM48" s="9">
        <v>2.967808622587861</v>
      </c>
      <c r="CN48" s="9">
        <v>2.5301441300188783</v>
      </c>
      <c r="CO48" s="9">
        <v>2.2922905250034402</v>
      </c>
      <c r="CP48" s="9">
        <v>2.288050875185748</v>
      </c>
      <c r="CQ48" s="9">
        <v>3.0538821383794312</v>
      </c>
      <c r="CR48" s="9">
        <v>4.862366702991558</v>
      </c>
      <c r="CS48" s="9">
        <v>6.0054570058330832</v>
      </c>
      <c r="CT48" s="9">
        <v>3.135329765187576</v>
      </c>
      <c r="CU48" s="9">
        <v>2.5407583759947014</v>
      </c>
      <c r="CV48" s="9">
        <v>2.2849116681539687</v>
      </c>
      <c r="CW48" s="9">
        <v>2.1357967255382349</v>
      </c>
      <c r="CX48" s="9">
        <v>2.562832655962775</v>
      </c>
      <c r="CY48" s="9">
        <v>4.421112145723427</v>
      </c>
      <c r="CZ48" s="9">
        <v>4.9192586634393187</v>
      </c>
      <c r="DA48" s="9">
        <v>2.8032634056499122</v>
      </c>
      <c r="DB48" s="9">
        <v>2.3425035967182799</v>
      </c>
      <c r="DC48" s="9">
        <v>2.1847642618635974</v>
      </c>
      <c r="DD48" s="9">
        <v>2.0672320336266821</v>
      </c>
      <c r="DE48" s="9">
        <v>2.6551757471772151</v>
      </c>
      <c r="DF48" s="9">
        <v>4.6836687508495247</v>
      </c>
      <c r="DG48" s="9">
        <v>5.2633922041147851</v>
      </c>
      <c r="DH48" s="9">
        <v>4.2862978690890117</v>
      </c>
      <c r="DI48" s="9">
        <v>3.7137021309109883</v>
      </c>
      <c r="DJ48" s="9"/>
      <c r="DK48" s="9">
        <v>24</v>
      </c>
      <c r="DL48" s="9">
        <v>24</v>
      </c>
      <c r="DM48" s="9">
        <v>22</v>
      </c>
      <c r="DN48" s="9">
        <v>22</v>
      </c>
      <c r="DO48" s="9">
        <v>8</v>
      </c>
      <c r="DP48" s="9"/>
      <c r="DQ48" s="9">
        <v>100</v>
      </c>
      <c r="DR48" s="8">
        <f>+SUM(Tabla2[[#This Row],[1 gral]:[1 gral]])</f>
        <v>3.2703090876750451</v>
      </c>
      <c r="DS48" s="8">
        <f>+SUM(Tabla2[[#This Row],[1 temm]:[1 temm]])</f>
        <v>1.3768695845513297</v>
      </c>
      <c r="DT48" s="8">
        <f>+SUM(Tabla2[[#This Row],[1 porta]:[1 porta]])</f>
        <v>0.24119600166211994</v>
      </c>
      <c r="DU48" s="8">
        <f>+Tabla2[[#This Row],[GRAL]]-(Tabla2[[#This Row],[TEMM14]]+Tabla2[[#This Row],[PORTA15]])</f>
        <v>1.6522435014615955</v>
      </c>
    </row>
    <row r="49" spans="1:125" hidden="1" x14ac:dyDescent="0.2">
      <c r="A49" s="84" t="s">
        <v>454</v>
      </c>
      <c r="B49" s="84" t="s">
        <v>483</v>
      </c>
      <c r="C49" s="11" t="s">
        <v>450</v>
      </c>
      <c r="D49" s="11">
        <v>2091588</v>
      </c>
      <c r="E49" s="11" t="s">
        <v>414</v>
      </c>
      <c r="F49" s="11" t="s">
        <v>459</v>
      </c>
      <c r="G49" s="43" t="s">
        <v>280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0.98121347329160713</v>
      </c>
      <c r="AK49" s="10">
        <v>1.0187865267083926</v>
      </c>
      <c r="AL49" s="10">
        <v>0</v>
      </c>
      <c r="AM49" s="6">
        <v>0</v>
      </c>
      <c r="AN49" s="8">
        <v>0</v>
      </c>
      <c r="AO49" s="8">
        <v>0</v>
      </c>
      <c r="AP49" s="8">
        <v>0</v>
      </c>
      <c r="AQ49" s="8">
        <v>2</v>
      </c>
      <c r="AR49" s="8">
        <v>0</v>
      </c>
      <c r="AS49" s="64">
        <v>2</v>
      </c>
      <c r="AT49" s="8">
        <v>1.2391826260961967</v>
      </c>
      <c r="AU49" s="8">
        <v>1.000840296827729</v>
      </c>
      <c r="AV49" s="8">
        <v>0.9412703006508133</v>
      </c>
      <c r="AW49" s="8">
        <v>0.92235832161438513</v>
      </c>
      <c r="AX49" s="8">
        <v>1.0542318496556169</v>
      </c>
      <c r="AY49" s="8">
        <v>1.637127728101865</v>
      </c>
      <c r="AZ49" s="8">
        <v>2.2049888770533945</v>
      </c>
      <c r="BA49" s="8">
        <v>1.1040018161555853</v>
      </c>
      <c r="BB49" s="8">
        <v>0.90653953289467237</v>
      </c>
      <c r="BC49" s="8">
        <v>0.82593707239220993</v>
      </c>
      <c r="BD49" s="8">
        <v>0.81123815410438893</v>
      </c>
      <c r="BE49" s="8">
        <v>1.1172232774888007</v>
      </c>
      <c r="BF49" s="8">
        <v>1.8499137341348788</v>
      </c>
      <c r="BG49" s="8">
        <v>2.3851464128294642</v>
      </c>
      <c r="BH49" s="8">
        <v>1.2849312104652109</v>
      </c>
      <c r="BI49" s="8">
        <v>0.99566882548425584</v>
      </c>
      <c r="BJ49" s="8">
        <v>0.89345607418852213</v>
      </c>
      <c r="BK49" s="8">
        <v>0.82943085466552013</v>
      </c>
      <c r="BL49" s="8">
        <v>1.0149017772327669</v>
      </c>
      <c r="BM49" s="8">
        <v>1.8445974286970421</v>
      </c>
      <c r="BN49" s="8">
        <v>2.137013829266682</v>
      </c>
      <c r="BO49" s="8">
        <v>1.1313095765741517</v>
      </c>
      <c r="BP49" s="8">
        <v>0.91077569589379626</v>
      </c>
      <c r="BQ49" s="8">
        <v>0.84523258460025452</v>
      </c>
      <c r="BR49" s="8">
        <v>0.806689347594578</v>
      </c>
      <c r="BS49" s="8">
        <v>1.0543483598396837</v>
      </c>
      <c r="BT49" s="8">
        <v>1.9609170564811196</v>
      </c>
      <c r="BU49" s="8">
        <v>2.2907273790164151</v>
      </c>
      <c r="BV49" s="8">
        <v>1.1016947985991348</v>
      </c>
      <c r="BW49" s="8">
        <v>0.89830520140086512</v>
      </c>
      <c r="BX49" s="8">
        <v>0</v>
      </c>
      <c r="BY49" s="8">
        <v>9</v>
      </c>
      <c r="BZ49" s="8">
        <v>9</v>
      </c>
      <c r="CA49" s="8">
        <v>9</v>
      </c>
      <c r="CB49" s="8">
        <v>9</v>
      </c>
      <c r="CC49" s="8">
        <v>2</v>
      </c>
      <c r="CD49" s="8">
        <v>0</v>
      </c>
      <c r="CE49" s="8">
        <v>38</v>
      </c>
      <c r="CF49" s="9">
        <v>1.7899304599167285</v>
      </c>
      <c r="CG49" s="9">
        <v>1.4456582065289418</v>
      </c>
      <c r="CH49" s="9">
        <v>1.3596126564956192</v>
      </c>
      <c r="CI49" s="9">
        <v>1.3322953534430009</v>
      </c>
      <c r="CJ49" s="9">
        <v>1.5227793383914465</v>
      </c>
      <c r="CK49" s="9">
        <v>2.364740051702694</v>
      </c>
      <c r="CL49" s="9">
        <v>3.1849839335215702</v>
      </c>
      <c r="CM49" s="9">
        <v>1.5946692900025121</v>
      </c>
      <c r="CN49" s="9">
        <v>1.3094459919589712</v>
      </c>
      <c r="CO49" s="9">
        <v>1.1930202156776366</v>
      </c>
      <c r="CP49" s="9">
        <v>1.1717884448174507</v>
      </c>
      <c r="CQ49" s="9">
        <v>1.6137669563727122</v>
      </c>
      <c r="CR49" s="9">
        <v>2.6720976159726026</v>
      </c>
      <c r="CS49" s="9">
        <v>3.445211485198115</v>
      </c>
      <c r="CT49" s="9">
        <v>1.7132416139536146</v>
      </c>
      <c r="CU49" s="9">
        <v>1.3275584339790079</v>
      </c>
      <c r="CV49" s="9">
        <v>1.1912747655846962</v>
      </c>
      <c r="CW49" s="9">
        <v>1.1059078062206935</v>
      </c>
      <c r="CX49" s="9">
        <v>1.3532023696436892</v>
      </c>
      <c r="CY49" s="9">
        <v>2.4594632382627228</v>
      </c>
      <c r="CZ49" s="9">
        <v>2.8493517723555764</v>
      </c>
      <c r="DA49" s="9">
        <v>1.5084127687655355</v>
      </c>
      <c r="DB49" s="9">
        <v>1.2143675945250618</v>
      </c>
      <c r="DC49" s="9">
        <v>1.126976779467006</v>
      </c>
      <c r="DD49" s="9">
        <v>1.0755857967927707</v>
      </c>
      <c r="DE49" s="9">
        <v>1.4057978131195783</v>
      </c>
      <c r="DF49" s="9">
        <v>2.6145560753081591</v>
      </c>
      <c r="DG49" s="9">
        <v>3.0543031720218865</v>
      </c>
      <c r="DH49" s="9">
        <v>2.633755671190309</v>
      </c>
      <c r="DI49" s="9">
        <v>2.3662443288096906</v>
      </c>
      <c r="DJ49" s="9"/>
      <c r="DK49" s="9">
        <v>13</v>
      </c>
      <c r="DL49" s="9">
        <v>13</v>
      </c>
      <c r="DM49" s="9">
        <v>12</v>
      </c>
      <c r="DN49" s="9">
        <v>12</v>
      </c>
      <c r="DO49" s="9">
        <v>5</v>
      </c>
      <c r="DP49" s="9"/>
      <c r="DQ49" s="9">
        <v>55</v>
      </c>
      <c r="DR49" s="8">
        <f>+SUM(Tabla2[[#This Row],[1 gral]:[1 gral]])</f>
        <v>1.7899304599167285</v>
      </c>
      <c r="DS49" s="8">
        <f>+SUM(Tabla2[[#This Row],[1 temm]:[1 temm]])</f>
        <v>1.2391826260961967</v>
      </c>
      <c r="DT49" s="8">
        <f>+SUM(Tabla2[[#This Row],[1 porta]:[1 porta]])</f>
        <v>0</v>
      </c>
      <c r="DU49" s="8">
        <f>+Tabla2[[#This Row],[GRAL]]-(Tabla2[[#This Row],[TEMM14]]+Tabla2[[#This Row],[PORTA15]])</f>
        <v>0.55074783382053183</v>
      </c>
    </row>
    <row r="50" spans="1:125" hidden="1" x14ac:dyDescent="0.2">
      <c r="A50" s="84" t="s">
        <v>457</v>
      </c>
      <c r="B50" s="84" t="s">
        <v>483</v>
      </c>
      <c r="C50" s="11" t="s">
        <v>453</v>
      </c>
      <c r="D50" s="11">
        <v>2091708</v>
      </c>
      <c r="E50" s="11" t="s">
        <v>415</v>
      </c>
      <c r="F50" s="11" t="s">
        <v>469</v>
      </c>
      <c r="G50" s="43" t="s">
        <v>281</v>
      </c>
      <c r="H50" s="10">
        <v>0.12059800083105997</v>
      </c>
      <c r="I50" s="10">
        <v>0.16789847649467127</v>
      </c>
      <c r="J50" s="10">
        <v>0.1562207193579257</v>
      </c>
      <c r="K50" s="10">
        <v>0.15006952754027642</v>
      </c>
      <c r="L50" s="10">
        <v>0.16374086192033718</v>
      </c>
      <c r="M50" s="10">
        <v>0.14743099948912008</v>
      </c>
      <c r="N50" s="10">
        <v>9.4041414366609274E-2</v>
      </c>
      <c r="O50" s="10">
        <v>0.13456875821488182</v>
      </c>
      <c r="P50" s="10">
        <v>0.15707930258261715</v>
      </c>
      <c r="Q50" s="10">
        <v>0.1366666184667969</v>
      </c>
      <c r="R50" s="10">
        <v>0.15251213813195408</v>
      </c>
      <c r="S50" s="10">
        <v>0.16144595225895933</v>
      </c>
      <c r="T50" s="10">
        <v>0.17017767644203829</v>
      </c>
      <c r="U50" s="10">
        <v>8.7549553902752458E-2</v>
      </c>
      <c r="V50" s="10">
        <v>0.13996353763244257</v>
      </c>
      <c r="W50" s="10">
        <v>0.16408049301484401</v>
      </c>
      <c r="X50" s="10">
        <v>0.14972686275640418</v>
      </c>
      <c r="Y50" s="10">
        <v>0.1463085242518728</v>
      </c>
      <c r="Z50" s="10">
        <v>0.15374768661164634</v>
      </c>
      <c r="AA50" s="10">
        <v>0.16100337430944414</v>
      </c>
      <c r="AB50" s="10">
        <v>8.5169521423346065E-2</v>
      </c>
      <c r="AC50" s="10">
        <v>0.14462106218700971</v>
      </c>
      <c r="AD50" s="10">
        <v>0.15927880292158872</v>
      </c>
      <c r="AE50" s="10">
        <v>0.15323481470929368</v>
      </c>
      <c r="AF50" s="10">
        <v>0.13729451948603222</v>
      </c>
      <c r="AG50" s="10">
        <v>0.15608969598895889</v>
      </c>
      <c r="AH50" s="10">
        <v>0.163037646001296</v>
      </c>
      <c r="AI50" s="10">
        <v>8.6443458705820736E-2</v>
      </c>
      <c r="AJ50" s="10">
        <v>0</v>
      </c>
      <c r="AK50" s="10">
        <v>0</v>
      </c>
      <c r="AL50" s="10">
        <v>0</v>
      </c>
      <c r="AM50" s="6">
        <v>1</v>
      </c>
      <c r="AN50" s="8">
        <v>1</v>
      </c>
      <c r="AO50" s="8">
        <v>1</v>
      </c>
      <c r="AP50" s="8">
        <v>1</v>
      </c>
      <c r="AQ50" s="8">
        <v>0</v>
      </c>
      <c r="AR50" s="8">
        <v>0</v>
      </c>
      <c r="AS50" s="64">
        <v>4</v>
      </c>
      <c r="AT50" s="8">
        <v>0.27537391691026591</v>
      </c>
      <c r="AU50" s="8">
        <v>0.22240895485060647</v>
      </c>
      <c r="AV50" s="8">
        <v>0.20917117792240295</v>
      </c>
      <c r="AW50" s="8">
        <v>0.20496851591430781</v>
      </c>
      <c r="AX50" s="8">
        <v>0.23427374436791484</v>
      </c>
      <c r="AY50" s="8">
        <v>0.36380616180041447</v>
      </c>
      <c r="AZ50" s="8">
        <v>0.48999752823408771</v>
      </c>
      <c r="BA50" s="8">
        <v>0.24533373692346341</v>
      </c>
      <c r="BB50" s="8">
        <v>0.20145322953214942</v>
      </c>
      <c r="BC50" s="8">
        <v>0.18354157164271331</v>
      </c>
      <c r="BD50" s="8">
        <v>0.18027514535653089</v>
      </c>
      <c r="BE50" s="8">
        <v>0.24827183944195569</v>
      </c>
      <c r="BF50" s="8">
        <v>0.41109194091886198</v>
      </c>
      <c r="BG50" s="8">
        <v>0.53003253618432533</v>
      </c>
      <c r="BH50" s="8">
        <v>0.28554026899226909</v>
      </c>
      <c r="BI50" s="8">
        <v>0.22125973899650131</v>
      </c>
      <c r="BJ50" s="8">
        <v>0.19854579426411603</v>
      </c>
      <c r="BK50" s="8">
        <v>0.18431796770344891</v>
      </c>
      <c r="BL50" s="8">
        <v>0.22553372827394821</v>
      </c>
      <c r="BM50" s="8">
        <v>0.40991053971045383</v>
      </c>
      <c r="BN50" s="8">
        <v>0.47489196205926271</v>
      </c>
      <c r="BO50" s="8">
        <v>0.25140212812758927</v>
      </c>
      <c r="BP50" s="8">
        <v>0.20239459908751029</v>
      </c>
      <c r="BQ50" s="8">
        <v>0.187829463244501</v>
      </c>
      <c r="BR50" s="8">
        <v>0.17926429946546177</v>
      </c>
      <c r="BS50" s="8">
        <v>0.23429963551992972</v>
      </c>
      <c r="BT50" s="8">
        <v>0.43575934588469323</v>
      </c>
      <c r="BU50" s="8">
        <v>0.50905052867031442</v>
      </c>
      <c r="BV50" s="8">
        <v>-0.55084739929956739</v>
      </c>
      <c r="BW50" s="8">
        <v>-0.44915260070043256</v>
      </c>
      <c r="BX50" s="8">
        <v>0</v>
      </c>
      <c r="BY50" s="8">
        <v>2</v>
      </c>
      <c r="BZ50" s="8">
        <v>2</v>
      </c>
      <c r="CA50" s="8">
        <v>2</v>
      </c>
      <c r="CB50" s="8">
        <v>2</v>
      </c>
      <c r="CC50" s="8">
        <v>-1</v>
      </c>
      <c r="CD50" s="8">
        <v>0</v>
      </c>
      <c r="CE50" s="8">
        <v>7</v>
      </c>
      <c r="CF50" s="9">
        <v>1.3597806269272565</v>
      </c>
      <c r="CG50" s="9">
        <v>1.1687387733224004</v>
      </c>
      <c r="CH50" s="9">
        <v>1.0974910200087389</v>
      </c>
      <c r="CI50" s="9">
        <v>1.0724278491546615</v>
      </c>
      <c r="CJ50" s="9">
        <v>1.217972711575954</v>
      </c>
      <c r="CK50" s="9">
        <v>1.7845587275909853</v>
      </c>
      <c r="CL50" s="9">
        <v>2.2990302914200038</v>
      </c>
      <c r="CM50" s="9">
        <v>1.2385705743704671</v>
      </c>
      <c r="CN50" s="9">
        <v>1.0636188354772895</v>
      </c>
      <c r="CO50" s="9">
        <v>0.96260369085900677</v>
      </c>
      <c r="CP50" s="9">
        <v>0.96375029223634312</v>
      </c>
      <c r="CQ50" s="9">
        <v>1.27866922974776</v>
      </c>
      <c r="CR50" s="9">
        <v>2.0200914105769172</v>
      </c>
      <c r="CS50" s="9">
        <v>2.4726959667322164</v>
      </c>
      <c r="CT50" s="9">
        <v>1.282124613601519</v>
      </c>
      <c r="CU50" s="9">
        <v>1.0491194490008493</v>
      </c>
      <c r="CV50" s="9">
        <v>0.94391003981286836</v>
      </c>
      <c r="CW50" s="9">
        <v>0.88358039506566843</v>
      </c>
      <c r="CX50" s="9">
        <v>1.0558825997074393</v>
      </c>
      <c r="CY50" s="9">
        <v>1.8006455331512594</v>
      </c>
      <c r="CZ50" s="9">
        <v>1.9847373696603969</v>
      </c>
      <c r="DA50" s="9">
        <v>1.1502295746973668</v>
      </c>
      <c r="DB50" s="9">
        <v>0.96885719927162994</v>
      </c>
      <c r="DC50" s="9">
        <v>0.9045526676872977</v>
      </c>
      <c r="DD50" s="9">
        <v>0.85435171734787929</v>
      </c>
      <c r="DE50" s="9">
        <v>1.0932882380686777</v>
      </c>
      <c r="DF50" s="9">
        <v>1.9060750295400688</v>
      </c>
      <c r="DG50" s="9">
        <v>2.1226455733870786</v>
      </c>
      <c r="DH50" s="9">
        <v>0.55084739929956739</v>
      </c>
      <c r="DI50" s="9">
        <v>0.44915260070043256</v>
      </c>
      <c r="DJ50" s="9"/>
      <c r="DK50" s="9">
        <v>10</v>
      </c>
      <c r="DL50" s="9">
        <v>10</v>
      </c>
      <c r="DM50" s="9">
        <v>9</v>
      </c>
      <c r="DN50" s="9">
        <v>9</v>
      </c>
      <c r="DO50" s="9">
        <v>1</v>
      </c>
      <c r="DP50" s="9"/>
      <c r="DQ50" s="9">
        <v>39</v>
      </c>
      <c r="DR50" s="8">
        <f>+SUM(Tabla2[[#This Row],[1 gral]:[1 gral]])</f>
        <v>1.3597806269272565</v>
      </c>
      <c r="DS50" s="8">
        <f>+SUM(Tabla2[[#This Row],[1 temm]:[1 temm]])</f>
        <v>0.27537391691026591</v>
      </c>
      <c r="DT50" s="8">
        <f>+SUM(Tabla2[[#This Row],[1 porta]:[1 porta]])</f>
        <v>0.12059800083105997</v>
      </c>
      <c r="DU50" s="8">
        <f>+Tabla2[[#This Row],[GRAL]]-(Tabla2[[#This Row],[TEMM14]]+Tabla2[[#This Row],[PORTA15]])</f>
        <v>0.96380870918593065</v>
      </c>
    </row>
    <row r="51" spans="1:125" hidden="1" x14ac:dyDescent="0.2">
      <c r="A51" s="84" t="s">
        <v>455</v>
      </c>
      <c r="B51" s="84" t="s">
        <v>483</v>
      </c>
      <c r="C51" s="11" t="s">
        <v>452</v>
      </c>
      <c r="D51" s="11">
        <v>2091711</v>
      </c>
      <c r="E51" s="11" t="s">
        <v>416</v>
      </c>
      <c r="F51" s="11" t="s">
        <v>468</v>
      </c>
      <c r="G51" s="43" t="s">
        <v>280</v>
      </c>
      <c r="H51" s="10">
        <v>0.36179400249317989</v>
      </c>
      <c r="I51" s="10">
        <v>0.5036954294840138</v>
      </c>
      <c r="J51" s="10">
        <v>0.46866215807377709</v>
      </c>
      <c r="K51" s="10">
        <v>0.45020858262082925</v>
      </c>
      <c r="L51" s="10">
        <v>0.49122258576101152</v>
      </c>
      <c r="M51" s="10">
        <v>0.44229299846736025</v>
      </c>
      <c r="N51" s="10">
        <v>0.28212424309982781</v>
      </c>
      <c r="O51" s="10">
        <v>0.40370627464464548</v>
      </c>
      <c r="P51" s="10">
        <v>0.47123790774785146</v>
      </c>
      <c r="Q51" s="10">
        <v>0.40999985540039069</v>
      </c>
      <c r="R51" s="10">
        <v>0.45753641439586223</v>
      </c>
      <c r="S51" s="10">
        <v>0.48433785677687802</v>
      </c>
      <c r="T51" s="10">
        <v>0.51053302932611488</v>
      </c>
      <c r="U51" s="10">
        <v>0.2626486617082574</v>
      </c>
      <c r="V51" s="10">
        <v>0.55985415052977028</v>
      </c>
      <c r="W51" s="10">
        <v>0.65632197205937604</v>
      </c>
      <c r="X51" s="10">
        <v>0.59890745102561671</v>
      </c>
      <c r="Y51" s="10">
        <v>0.58523409700749118</v>
      </c>
      <c r="Z51" s="10">
        <v>0.61499074644658536</v>
      </c>
      <c r="AA51" s="10">
        <v>0.64401349723777657</v>
      </c>
      <c r="AB51" s="10">
        <v>0.34067808569338426</v>
      </c>
      <c r="AC51" s="10">
        <v>0.57848424874803883</v>
      </c>
      <c r="AD51" s="10">
        <v>0.63711521168635488</v>
      </c>
      <c r="AE51" s="10">
        <v>0.61293925883717471</v>
      </c>
      <c r="AF51" s="10">
        <v>0.54917807794412887</v>
      </c>
      <c r="AG51" s="10">
        <v>0.62435878395583555</v>
      </c>
      <c r="AH51" s="10">
        <v>0.652150584005184</v>
      </c>
      <c r="AI51" s="10">
        <v>0.34577383482328294</v>
      </c>
      <c r="AJ51" s="10">
        <v>0.49060673664580357</v>
      </c>
      <c r="AK51" s="10">
        <v>0.50939326335419632</v>
      </c>
      <c r="AL51" s="10">
        <v>0</v>
      </c>
      <c r="AM51" s="6">
        <v>3</v>
      </c>
      <c r="AN51" s="8">
        <v>3</v>
      </c>
      <c r="AO51" s="8">
        <v>4</v>
      </c>
      <c r="AP51" s="8">
        <v>4</v>
      </c>
      <c r="AQ51" s="8">
        <v>1</v>
      </c>
      <c r="AR51" s="8">
        <v>0</v>
      </c>
      <c r="AS51" s="64">
        <v>15</v>
      </c>
      <c r="AT51" s="8">
        <v>2.3406782937372603</v>
      </c>
      <c r="AU51" s="8">
        <v>1.8904761162301549</v>
      </c>
      <c r="AV51" s="8">
        <v>1.7779550123404251</v>
      </c>
      <c r="AW51" s="8">
        <v>1.7422323852716164</v>
      </c>
      <c r="AX51" s="8">
        <v>1.9913268271272762</v>
      </c>
      <c r="AY51" s="8">
        <v>3.0923523753035229</v>
      </c>
      <c r="AZ51" s="8">
        <v>4.1649789899897458</v>
      </c>
      <c r="BA51" s="8">
        <v>2.0853367638494391</v>
      </c>
      <c r="BB51" s="8">
        <v>1.7123524510232702</v>
      </c>
      <c r="BC51" s="8">
        <v>1.5601033589630631</v>
      </c>
      <c r="BD51" s="8">
        <v>1.5323387355305125</v>
      </c>
      <c r="BE51" s="8">
        <v>2.1103106352566234</v>
      </c>
      <c r="BF51" s="8">
        <v>3.4942814978103267</v>
      </c>
      <c r="BG51" s="8">
        <v>4.5052765575667655</v>
      </c>
      <c r="BH51" s="8">
        <v>2.2843221519381527</v>
      </c>
      <c r="BI51" s="8">
        <v>1.7700779119720105</v>
      </c>
      <c r="BJ51" s="8">
        <v>1.5883663541129283</v>
      </c>
      <c r="BK51" s="8">
        <v>1.4745437416275913</v>
      </c>
      <c r="BL51" s="8">
        <v>1.8042698261915857</v>
      </c>
      <c r="BM51" s="8">
        <v>3.2792843176836306</v>
      </c>
      <c r="BN51" s="8">
        <v>3.7991356964741017</v>
      </c>
      <c r="BO51" s="8">
        <v>2.0112170250207142</v>
      </c>
      <c r="BP51" s="8">
        <v>1.6191567927000823</v>
      </c>
      <c r="BQ51" s="8">
        <v>1.502635705956008</v>
      </c>
      <c r="BR51" s="8">
        <v>1.4341143957236941</v>
      </c>
      <c r="BS51" s="8">
        <v>1.8743970841594377</v>
      </c>
      <c r="BT51" s="8">
        <v>3.4860747670775458</v>
      </c>
      <c r="BU51" s="8">
        <v>4.0724042293625153</v>
      </c>
      <c r="BV51" s="8">
        <v>1.6525421978987023</v>
      </c>
      <c r="BW51" s="8">
        <v>1.3474578021012977</v>
      </c>
      <c r="BX51" s="8">
        <v>0</v>
      </c>
      <c r="BY51" s="8">
        <v>17</v>
      </c>
      <c r="BZ51" s="8">
        <v>17</v>
      </c>
      <c r="CA51" s="8">
        <v>16</v>
      </c>
      <c r="CB51" s="8">
        <v>16</v>
      </c>
      <c r="CC51" s="8">
        <v>3</v>
      </c>
      <c r="CD51" s="8">
        <v>0</v>
      </c>
      <c r="CE51" s="8">
        <v>69</v>
      </c>
      <c r="CF51" s="9">
        <v>4.0793418807817705</v>
      </c>
      <c r="CG51" s="9">
        <v>3.506216319967201</v>
      </c>
      <c r="CH51" s="9">
        <v>3.2924730600262171</v>
      </c>
      <c r="CI51" s="9">
        <v>3.2172835474639845</v>
      </c>
      <c r="CJ51" s="9">
        <v>3.6539181347278618</v>
      </c>
      <c r="CK51" s="9">
        <v>5.3536761827729551</v>
      </c>
      <c r="CL51" s="9">
        <v>6.8970908742600123</v>
      </c>
      <c r="CM51" s="9">
        <v>3.7157117231114016</v>
      </c>
      <c r="CN51" s="9">
        <v>3.190856506431869</v>
      </c>
      <c r="CO51" s="9">
        <v>2.8878110725770205</v>
      </c>
      <c r="CP51" s="9">
        <v>2.8912508767090292</v>
      </c>
      <c r="CQ51" s="9">
        <v>3.8360076892432797</v>
      </c>
      <c r="CR51" s="9">
        <v>6.0602742317307516</v>
      </c>
      <c r="CS51" s="9">
        <v>7.4180879001966495</v>
      </c>
      <c r="CT51" s="9">
        <v>4.1291075129331336</v>
      </c>
      <c r="CU51" s="9">
        <v>3.4220687095156426</v>
      </c>
      <c r="CV51" s="9">
        <v>3.080729879327067</v>
      </c>
      <c r="CW51" s="9">
        <v>2.8892086933006027</v>
      </c>
      <c r="CX51" s="9">
        <v>3.4341623498709382</v>
      </c>
      <c r="CY51" s="9">
        <v>5.7678952436184492</v>
      </c>
      <c r="CZ51" s="9">
        <v>6.2768276114341681</v>
      </c>
      <c r="DA51" s="9">
        <v>3.7210108503429051</v>
      </c>
      <c r="DB51" s="9">
        <v>3.1670477002802331</v>
      </c>
      <c r="DC51" s="9">
        <v>2.9608075493934374</v>
      </c>
      <c r="DD51" s="9">
        <v>2.7899818212624012</v>
      </c>
      <c r="DE51" s="9">
        <v>3.5531042279549565</v>
      </c>
      <c r="DF51" s="9">
        <v>6.099142407563849</v>
      </c>
      <c r="DG51" s="9">
        <v>6.7089054432022133</v>
      </c>
      <c r="DH51" s="9">
        <v>2.6939963338440731</v>
      </c>
      <c r="DI51" s="9">
        <v>2.3060036661559269</v>
      </c>
      <c r="DJ51" s="9"/>
      <c r="DK51" s="9">
        <v>30</v>
      </c>
      <c r="DL51" s="9">
        <v>30</v>
      </c>
      <c r="DM51" s="9">
        <v>29</v>
      </c>
      <c r="DN51" s="9">
        <v>29</v>
      </c>
      <c r="DO51" s="9">
        <v>5</v>
      </c>
      <c r="DP51" s="9"/>
      <c r="DQ51" s="9">
        <v>123</v>
      </c>
      <c r="DR51" s="8">
        <f>+SUM(Tabla2[[#This Row],[1 gral]:[1 gral]])</f>
        <v>4.0793418807817705</v>
      </c>
      <c r="DS51" s="8">
        <f>+SUM(Tabla2[[#This Row],[1 temm]:[1 temm]])</f>
        <v>2.3406782937372603</v>
      </c>
      <c r="DT51" s="8">
        <f>+SUM(Tabla2[[#This Row],[1 porta]:[1 porta]])</f>
        <v>0.36179400249317989</v>
      </c>
      <c r="DU51" s="8">
        <f>+Tabla2[[#This Row],[GRAL]]-(Tabla2[[#This Row],[TEMM14]]+Tabla2[[#This Row],[PORTA15]])</f>
        <v>1.3768695845513301</v>
      </c>
    </row>
    <row r="52" spans="1:125" x14ac:dyDescent="0.2">
      <c r="A52" s="84" t="s">
        <v>99</v>
      </c>
      <c r="B52" s="84" t="s">
        <v>482</v>
      </c>
      <c r="C52" s="11" t="s">
        <v>127</v>
      </c>
      <c r="D52" s="11">
        <v>2091864</v>
      </c>
      <c r="E52" s="11" t="s">
        <v>311</v>
      </c>
      <c r="F52" s="11" t="s">
        <v>315</v>
      </c>
      <c r="G52" s="43" t="s">
        <v>281</v>
      </c>
      <c r="H52" s="10">
        <v>0.12059800083105997</v>
      </c>
      <c r="I52" s="10">
        <v>0.16789847649467127</v>
      </c>
      <c r="J52" s="10">
        <v>0.1562207193579257</v>
      </c>
      <c r="K52" s="10">
        <v>0.15006952754027642</v>
      </c>
      <c r="L52" s="10">
        <v>0.16374086192033718</v>
      </c>
      <c r="M52" s="10">
        <v>0.14743099948912008</v>
      </c>
      <c r="N52" s="10">
        <v>9.4041414366609274E-2</v>
      </c>
      <c r="O52" s="10">
        <v>0.13456875821488182</v>
      </c>
      <c r="P52" s="10">
        <v>0.15707930258261715</v>
      </c>
      <c r="Q52" s="10">
        <v>0.1366666184667969</v>
      </c>
      <c r="R52" s="10">
        <v>0.15251213813195408</v>
      </c>
      <c r="S52" s="10">
        <v>0.16144595225895933</v>
      </c>
      <c r="T52" s="10">
        <v>0.17017767644203829</v>
      </c>
      <c r="U52" s="10">
        <v>8.7549553902752458E-2</v>
      </c>
      <c r="V52" s="10">
        <v>0.13996353763244257</v>
      </c>
      <c r="W52" s="10">
        <v>0.16408049301484401</v>
      </c>
      <c r="X52" s="10">
        <v>0.14972686275640418</v>
      </c>
      <c r="Y52" s="10">
        <v>0.1463085242518728</v>
      </c>
      <c r="Z52" s="10">
        <v>0.15374768661164634</v>
      </c>
      <c r="AA52" s="10">
        <v>0.16100337430944414</v>
      </c>
      <c r="AB52" s="10">
        <v>8.5169521423346065E-2</v>
      </c>
      <c r="AC52" s="10">
        <v>0.14462106218700971</v>
      </c>
      <c r="AD52" s="10">
        <v>0.15927880292158872</v>
      </c>
      <c r="AE52" s="10">
        <v>0.15323481470929368</v>
      </c>
      <c r="AF52" s="10">
        <v>0.13729451948603222</v>
      </c>
      <c r="AG52" s="10">
        <v>0.15608969598895889</v>
      </c>
      <c r="AH52" s="10">
        <v>0.163037646001296</v>
      </c>
      <c r="AI52" s="10">
        <v>8.6443458705820736E-2</v>
      </c>
      <c r="AJ52" s="10">
        <v>0.49060673664580357</v>
      </c>
      <c r="AK52" s="10">
        <v>0.50939326335419632</v>
      </c>
      <c r="AL52" s="10">
        <v>0</v>
      </c>
      <c r="AM52" s="6">
        <v>1</v>
      </c>
      <c r="AN52" s="8">
        <v>1</v>
      </c>
      <c r="AO52" s="8">
        <v>1</v>
      </c>
      <c r="AP52" s="8">
        <v>1</v>
      </c>
      <c r="AQ52" s="8">
        <v>1</v>
      </c>
      <c r="AR52" s="8">
        <v>0</v>
      </c>
      <c r="AS52" s="87">
        <v>5</v>
      </c>
      <c r="AT52" s="8">
        <v>0.96380870918593065</v>
      </c>
      <c r="AU52" s="8">
        <v>0.7784313419771226</v>
      </c>
      <c r="AV52" s="8">
        <v>0.73209912272841027</v>
      </c>
      <c r="AW52" s="8">
        <v>0.71738980570007738</v>
      </c>
      <c r="AX52" s="8">
        <v>0.81995810528770197</v>
      </c>
      <c r="AY52" s="8">
        <v>1.2733215663014508</v>
      </c>
      <c r="AZ52" s="8">
        <v>1.7149913488193069</v>
      </c>
      <c r="BA52" s="8">
        <v>0.85866807923212196</v>
      </c>
      <c r="BB52" s="8">
        <v>0.70508630336252298</v>
      </c>
      <c r="BC52" s="8">
        <v>0.64239550074949658</v>
      </c>
      <c r="BD52" s="8">
        <v>0.63096300874785816</v>
      </c>
      <c r="BE52" s="8">
        <v>0.86895143804684494</v>
      </c>
      <c r="BF52" s="8">
        <v>1.438821793216017</v>
      </c>
      <c r="BG52" s="8">
        <v>1.8551138766451387</v>
      </c>
      <c r="BH52" s="8">
        <v>0.85662080697680731</v>
      </c>
      <c r="BI52" s="8">
        <v>0.66377921698950393</v>
      </c>
      <c r="BJ52" s="8">
        <v>0.59563738279234812</v>
      </c>
      <c r="BK52" s="8">
        <v>0.55295390311034676</v>
      </c>
      <c r="BL52" s="8">
        <v>0.67660118482184461</v>
      </c>
      <c r="BM52" s="8">
        <v>1.2297316191313614</v>
      </c>
      <c r="BN52" s="8">
        <v>1.4246758861777882</v>
      </c>
      <c r="BO52" s="8">
        <v>0.75420638438276777</v>
      </c>
      <c r="BP52" s="8">
        <v>0.60718379726253091</v>
      </c>
      <c r="BQ52" s="8">
        <v>0.56348838973350301</v>
      </c>
      <c r="BR52" s="8">
        <v>0.53779289839638533</v>
      </c>
      <c r="BS52" s="8">
        <v>0.70289890655978915</v>
      </c>
      <c r="BT52" s="8">
        <v>1.3072780376540796</v>
      </c>
      <c r="BU52" s="8">
        <v>1.5271515860109433</v>
      </c>
      <c r="BV52" s="8">
        <v>1.1016947985991348</v>
      </c>
      <c r="BW52" s="8">
        <v>0.89830520140086512</v>
      </c>
      <c r="BX52" s="8">
        <v>0</v>
      </c>
      <c r="BY52" s="8">
        <v>7</v>
      </c>
      <c r="BZ52" s="8">
        <v>7</v>
      </c>
      <c r="CA52" s="8">
        <v>6</v>
      </c>
      <c r="CB52" s="8">
        <v>6</v>
      </c>
      <c r="CC52" s="8">
        <v>2</v>
      </c>
      <c r="CD52" s="8">
        <v>0</v>
      </c>
      <c r="CE52" s="8">
        <v>28</v>
      </c>
      <c r="CF52" s="9">
        <v>1.6351545438375223</v>
      </c>
      <c r="CG52" s="9">
        <v>1.3911477281730069</v>
      </c>
      <c r="CH52" s="9">
        <v>1.3066621979311419</v>
      </c>
      <c r="CI52" s="9">
        <v>1.2773963650689693</v>
      </c>
      <c r="CJ52" s="9">
        <v>1.4522464559438688</v>
      </c>
      <c r="CK52" s="9">
        <v>2.1483648893913996</v>
      </c>
      <c r="CL52" s="9">
        <v>2.7890278196540916</v>
      </c>
      <c r="CM52" s="9">
        <v>1.4839043112939305</v>
      </c>
      <c r="CN52" s="9">
        <v>1.2650720650094389</v>
      </c>
      <c r="CO52" s="9">
        <v>1.1461452625017201</v>
      </c>
      <c r="CP52" s="9">
        <v>1.144025437592874</v>
      </c>
      <c r="CQ52" s="9">
        <v>1.5269410691897156</v>
      </c>
      <c r="CR52" s="9">
        <v>2.4311833514957795</v>
      </c>
      <c r="CS52" s="9">
        <v>3.0027285029165416</v>
      </c>
      <c r="CT52" s="9">
        <v>1.567664882593788</v>
      </c>
      <c r="CU52" s="9">
        <v>1.2703791879973505</v>
      </c>
      <c r="CV52" s="9">
        <v>1.1424558340769844</v>
      </c>
      <c r="CW52" s="9">
        <v>1.0678983627691174</v>
      </c>
      <c r="CX52" s="9">
        <v>1.2814163279813875</v>
      </c>
      <c r="CY52" s="9">
        <v>2.2105560728617131</v>
      </c>
      <c r="CZ52" s="9">
        <v>2.4596293317196598</v>
      </c>
      <c r="DA52" s="9">
        <v>1.4016317028249561</v>
      </c>
      <c r="DB52" s="9">
        <v>1.1712517983591402</v>
      </c>
      <c r="DC52" s="9">
        <v>1.0923821309317987</v>
      </c>
      <c r="DD52" s="9">
        <v>1.033616016813341</v>
      </c>
      <c r="DE52" s="9">
        <v>1.3275878735886075</v>
      </c>
      <c r="DF52" s="9">
        <v>2.3418343754247619</v>
      </c>
      <c r="DG52" s="9">
        <v>2.6316961020573926</v>
      </c>
      <c r="DH52" s="9">
        <v>2.1431489345445058</v>
      </c>
      <c r="DI52" s="9">
        <v>1.8568510654554939</v>
      </c>
      <c r="DJ52" s="9"/>
      <c r="DK52" s="9">
        <v>12</v>
      </c>
      <c r="DL52" s="9">
        <v>12</v>
      </c>
      <c r="DM52" s="9">
        <v>11</v>
      </c>
      <c r="DN52" s="9">
        <v>11</v>
      </c>
      <c r="DO52" s="9">
        <v>4</v>
      </c>
      <c r="DP52" s="9"/>
      <c r="DQ52" s="9">
        <v>50</v>
      </c>
      <c r="DR52" s="8">
        <f>+SUM(Tabla2[[#This Row],[1 gral]:[1 gral]])</f>
        <v>1.6351545438375223</v>
      </c>
      <c r="DS52" s="8">
        <f>+SUM(Tabla2[[#This Row],[1 temm]:[1 temm]])</f>
        <v>0.96380870918593065</v>
      </c>
      <c r="DT52" s="8">
        <f>+SUM(Tabla2[[#This Row],[1 porta]:[1 porta]])</f>
        <v>0.12059800083105997</v>
      </c>
      <c r="DU52" s="8">
        <f>+Tabla2[[#This Row],[GRAL]]-(Tabla2[[#This Row],[TEMM14]]+Tabla2[[#This Row],[PORTA15]])</f>
        <v>0.55074783382053183</v>
      </c>
    </row>
    <row r="53" spans="1:125" x14ac:dyDescent="0.2">
      <c r="A53" s="84" t="s">
        <v>99</v>
      </c>
      <c r="B53" s="84" t="s">
        <v>482</v>
      </c>
      <c r="C53" s="11" t="s">
        <v>127</v>
      </c>
      <c r="D53" s="11">
        <v>2091869</v>
      </c>
      <c r="E53" s="11" t="s">
        <v>110</v>
      </c>
      <c r="F53" s="11" t="s">
        <v>315</v>
      </c>
      <c r="G53" s="43" t="s">
        <v>280</v>
      </c>
      <c r="H53" s="10">
        <v>0.12059800083105997</v>
      </c>
      <c r="I53" s="10">
        <v>0.16789847649467127</v>
      </c>
      <c r="J53" s="10">
        <v>0.1562207193579257</v>
      </c>
      <c r="K53" s="10">
        <v>0.15006952754027642</v>
      </c>
      <c r="L53" s="10">
        <v>0.16374086192033718</v>
      </c>
      <c r="M53" s="10">
        <v>0.14743099948912008</v>
      </c>
      <c r="N53" s="10">
        <v>9.4041414366609274E-2</v>
      </c>
      <c r="O53" s="10">
        <v>0.13456875821488182</v>
      </c>
      <c r="P53" s="10">
        <v>0.15707930258261715</v>
      </c>
      <c r="Q53" s="10">
        <v>0.1366666184667969</v>
      </c>
      <c r="R53" s="10">
        <v>0.15251213813195408</v>
      </c>
      <c r="S53" s="10">
        <v>0.16144595225895933</v>
      </c>
      <c r="T53" s="10">
        <v>0.17017767644203829</v>
      </c>
      <c r="U53" s="10">
        <v>8.7549553902752458E-2</v>
      </c>
      <c r="V53" s="10">
        <v>0.13996353763244257</v>
      </c>
      <c r="W53" s="10">
        <v>0.16408049301484401</v>
      </c>
      <c r="X53" s="10">
        <v>0.14972686275640418</v>
      </c>
      <c r="Y53" s="10">
        <v>0.1463085242518728</v>
      </c>
      <c r="Z53" s="10">
        <v>0.15374768661164634</v>
      </c>
      <c r="AA53" s="10">
        <v>0.16100337430944414</v>
      </c>
      <c r="AB53" s="10">
        <v>8.5169521423346065E-2</v>
      </c>
      <c r="AC53" s="10">
        <v>0.14462106218700971</v>
      </c>
      <c r="AD53" s="10">
        <v>0.15927880292158872</v>
      </c>
      <c r="AE53" s="10">
        <v>0.15323481470929368</v>
      </c>
      <c r="AF53" s="10">
        <v>0.13729451948603222</v>
      </c>
      <c r="AG53" s="10">
        <v>0.15608969598895889</v>
      </c>
      <c r="AH53" s="10">
        <v>0.163037646001296</v>
      </c>
      <c r="AI53" s="10">
        <v>8.6443458705820736E-2</v>
      </c>
      <c r="AJ53" s="10">
        <v>0.49060673664580357</v>
      </c>
      <c r="AK53" s="10">
        <v>0.50939326335419632</v>
      </c>
      <c r="AL53" s="10">
        <v>0</v>
      </c>
      <c r="AM53" s="6">
        <v>1</v>
      </c>
      <c r="AN53" s="8">
        <v>1</v>
      </c>
      <c r="AO53" s="8">
        <v>1</v>
      </c>
      <c r="AP53" s="8">
        <v>1</v>
      </c>
      <c r="AQ53" s="8">
        <v>1</v>
      </c>
      <c r="AR53" s="8">
        <v>0</v>
      </c>
      <c r="AS53" s="87">
        <v>5</v>
      </c>
      <c r="AT53" s="8">
        <v>0.68843479227566484</v>
      </c>
      <c r="AU53" s="8">
        <v>0.55602238712651619</v>
      </c>
      <c r="AV53" s="8">
        <v>0.52292794480600735</v>
      </c>
      <c r="AW53" s="8">
        <v>0.51242128978576951</v>
      </c>
      <c r="AX53" s="8">
        <v>0.58568436091978715</v>
      </c>
      <c r="AY53" s="8">
        <v>0.90951540450103618</v>
      </c>
      <c r="AZ53" s="8">
        <v>1.2249938205852193</v>
      </c>
      <c r="BA53" s="8">
        <v>0.61333434230865858</v>
      </c>
      <c r="BB53" s="8">
        <v>0.50363307383037359</v>
      </c>
      <c r="BC53" s="8">
        <v>0.4588539291067833</v>
      </c>
      <c r="BD53" s="8">
        <v>0.45068786339132721</v>
      </c>
      <c r="BE53" s="8">
        <v>0.62067959860488919</v>
      </c>
      <c r="BF53" s="8">
        <v>1.027729852297155</v>
      </c>
      <c r="BG53" s="8">
        <v>1.3250813404608133</v>
      </c>
      <c r="BH53" s="8">
        <v>0.71385067248067269</v>
      </c>
      <c r="BI53" s="8">
        <v>0.55314934749125322</v>
      </c>
      <c r="BJ53" s="8">
        <v>0.49636448566029007</v>
      </c>
      <c r="BK53" s="8">
        <v>0.46079491925862226</v>
      </c>
      <c r="BL53" s="8">
        <v>0.56383432068487049</v>
      </c>
      <c r="BM53" s="8">
        <v>1.0247763492761346</v>
      </c>
      <c r="BN53" s="8">
        <v>1.1872299051481567</v>
      </c>
      <c r="BO53" s="8">
        <v>0.62850532031897322</v>
      </c>
      <c r="BP53" s="8">
        <v>0.50598649771877569</v>
      </c>
      <c r="BQ53" s="8">
        <v>0.46957365811125251</v>
      </c>
      <c r="BR53" s="8">
        <v>0.44816074866365441</v>
      </c>
      <c r="BS53" s="8">
        <v>0.58574908879982424</v>
      </c>
      <c r="BT53" s="8">
        <v>1.0893983647117331</v>
      </c>
      <c r="BU53" s="8">
        <v>1.272626321675786</v>
      </c>
      <c r="BV53" s="8">
        <v>0</v>
      </c>
      <c r="BW53" s="8">
        <v>0</v>
      </c>
      <c r="BX53" s="8">
        <v>0</v>
      </c>
      <c r="BY53" s="8">
        <v>5</v>
      </c>
      <c r="BZ53" s="8">
        <v>5</v>
      </c>
      <c r="CA53" s="8">
        <v>5</v>
      </c>
      <c r="CB53" s="8">
        <v>5</v>
      </c>
      <c r="CC53" s="8">
        <v>0</v>
      </c>
      <c r="CD53" s="8">
        <v>0</v>
      </c>
      <c r="CE53" s="8">
        <v>20</v>
      </c>
      <c r="CF53" s="9">
        <v>1.3597806269272565</v>
      </c>
      <c r="CG53" s="9">
        <v>1.1687387733224004</v>
      </c>
      <c r="CH53" s="9">
        <v>1.0974910200087389</v>
      </c>
      <c r="CI53" s="9">
        <v>1.0724278491546615</v>
      </c>
      <c r="CJ53" s="9">
        <v>1.217972711575954</v>
      </c>
      <c r="CK53" s="9">
        <v>1.7845587275909853</v>
      </c>
      <c r="CL53" s="9">
        <v>2.2990302914200038</v>
      </c>
      <c r="CM53" s="9">
        <v>1.2385705743704671</v>
      </c>
      <c r="CN53" s="9">
        <v>1.0636188354772895</v>
      </c>
      <c r="CO53" s="9">
        <v>0.96260369085900677</v>
      </c>
      <c r="CP53" s="9">
        <v>0.96375029223634301</v>
      </c>
      <c r="CQ53" s="9">
        <v>1.2786692297477598</v>
      </c>
      <c r="CR53" s="9">
        <v>2.0200914105769172</v>
      </c>
      <c r="CS53" s="9">
        <v>2.4726959667322164</v>
      </c>
      <c r="CT53" s="9">
        <v>1.282124613601519</v>
      </c>
      <c r="CU53" s="9">
        <v>1.0491194490008493</v>
      </c>
      <c r="CV53" s="9">
        <v>0.94391003981286836</v>
      </c>
      <c r="CW53" s="9">
        <v>0.88358039506566843</v>
      </c>
      <c r="CX53" s="9">
        <v>1.0558825997074393</v>
      </c>
      <c r="CY53" s="9">
        <v>1.8006455331512594</v>
      </c>
      <c r="CZ53" s="9">
        <v>1.9847373696603969</v>
      </c>
      <c r="DA53" s="9">
        <v>1.1502295746973668</v>
      </c>
      <c r="DB53" s="9">
        <v>0.96885719927162983</v>
      </c>
      <c r="DC53" s="9">
        <v>0.9045526676872977</v>
      </c>
      <c r="DD53" s="9">
        <v>0.85435171734787929</v>
      </c>
      <c r="DE53" s="9">
        <v>1.0932882380686777</v>
      </c>
      <c r="DF53" s="9">
        <v>1.9060750295400688</v>
      </c>
      <c r="DG53" s="9">
        <v>2.1226455733870786</v>
      </c>
      <c r="DH53" s="9">
        <v>1.0414541359453708</v>
      </c>
      <c r="DI53" s="9">
        <v>0.95854586405462894</v>
      </c>
      <c r="DJ53" s="9"/>
      <c r="DK53" s="9">
        <v>10</v>
      </c>
      <c r="DL53" s="9">
        <v>10</v>
      </c>
      <c r="DM53" s="9">
        <v>9</v>
      </c>
      <c r="DN53" s="9">
        <v>9</v>
      </c>
      <c r="DO53" s="9">
        <v>2</v>
      </c>
      <c r="DP53" s="9"/>
      <c r="DQ53" s="9">
        <v>40</v>
      </c>
      <c r="DR53" s="8">
        <f>+SUM(Tabla2[[#This Row],[1 gral]:[1 gral]])</f>
        <v>1.3597806269272565</v>
      </c>
      <c r="DS53" s="8">
        <f>+SUM(Tabla2[[#This Row],[1 temm]:[1 temm]])</f>
        <v>0.68843479227566484</v>
      </c>
      <c r="DT53" s="8">
        <f>+SUM(Tabla2[[#This Row],[1 porta]:[1 porta]])</f>
        <v>0.12059800083105997</v>
      </c>
      <c r="DU53" s="8">
        <f>+Tabla2[[#This Row],[GRAL]]-(Tabla2[[#This Row],[TEMM14]]+Tabla2[[#This Row],[PORTA15]])</f>
        <v>0.55074783382053172</v>
      </c>
    </row>
    <row r="54" spans="1:125" hidden="1" x14ac:dyDescent="0.2">
      <c r="A54" s="84" t="s">
        <v>454</v>
      </c>
      <c r="B54" s="84" t="s">
        <v>483</v>
      </c>
      <c r="C54" s="11" t="s">
        <v>450</v>
      </c>
      <c r="D54" s="11">
        <v>2091896</v>
      </c>
      <c r="E54" s="11" t="s">
        <v>417</v>
      </c>
      <c r="F54" s="11" t="s">
        <v>460</v>
      </c>
      <c r="G54" s="43" t="s">
        <v>281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0.49060673664580357</v>
      </c>
      <c r="AK54" s="10">
        <v>0.50939326335419632</v>
      </c>
      <c r="AL54" s="10">
        <v>0</v>
      </c>
      <c r="AM54" s="6">
        <v>0</v>
      </c>
      <c r="AN54" s="8">
        <v>0</v>
      </c>
      <c r="AO54" s="8">
        <v>0</v>
      </c>
      <c r="AP54" s="8">
        <v>0</v>
      </c>
      <c r="AQ54" s="8">
        <v>1</v>
      </c>
      <c r="AR54" s="8">
        <v>0</v>
      </c>
      <c r="AS54" s="64">
        <v>1</v>
      </c>
      <c r="AT54" s="8">
        <v>0.27537391691026591</v>
      </c>
      <c r="AU54" s="8">
        <v>0.22240895485060647</v>
      </c>
      <c r="AV54" s="8">
        <v>0.20917117792240295</v>
      </c>
      <c r="AW54" s="8">
        <v>0.20496851591430781</v>
      </c>
      <c r="AX54" s="8">
        <v>0.23427374436791484</v>
      </c>
      <c r="AY54" s="8">
        <v>0.36380616180041447</v>
      </c>
      <c r="AZ54" s="8">
        <v>0.48999752823408771</v>
      </c>
      <c r="BA54" s="8">
        <v>0.24533373692346341</v>
      </c>
      <c r="BB54" s="8">
        <v>0.20145322953214942</v>
      </c>
      <c r="BC54" s="8">
        <v>0.18354157164271331</v>
      </c>
      <c r="BD54" s="8">
        <v>0.18027514535653089</v>
      </c>
      <c r="BE54" s="8">
        <v>0.24827183944195569</v>
      </c>
      <c r="BF54" s="8">
        <v>0.41109194091886198</v>
      </c>
      <c r="BG54" s="8">
        <v>0.53003253618432533</v>
      </c>
      <c r="BH54" s="8">
        <v>0.28554026899226909</v>
      </c>
      <c r="BI54" s="8">
        <v>0.22125973899650131</v>
      </c>
      <c r="BJ54" s="8">
        <v>0.19854579426411603</v>
      </c>
      <c r="BK54" s="8">
        <v>0.18431796770344891</v>
      </c>
      <c r="BL54" s="8">
        <v>0.22553372827394821</v>
      </c>
      <c r="BM54" s="8">
        <v>0.40991053971045383</v>
      </c>
      <c r="BN54" s="8">
        <v>0.47489196205926271</v>
      </c>
      <c r="BO54" s="8">
        <v>0.25140212812758927</v>
      </c>
      <c r="BP54" s="8">
        <v>0.20239459908751029</v>
      </c>
      <c r="BQ54" s="8">
        <v>0.187829463244501</v>
      </c>
      <c r="BR54" s="8">
        <v>0.17926429946546177</v>
      </c>
      <c r="BS54" s="8">
        <v>0.23429963551992972</v>
      </c>
      <c r="BT54" s="8">
        <v>0.43575934588469323</v>
      </c>
      <c r="BU54" s="8">
        <v>0.50905052867031442</v>
      </c>
      <c r="BV54" s="8">
        <v>-0.55084739929956739</v>
      </c>
      <c r="BW54" s="8">
        <v>-0.44915260070043256</v>
      </c>
      <c r="BX54" s="8">
        <v>0</v>
      </c>
      <c r="BY54" s="8">
        <v>2</v>
      </c>
      <c r="BZ54" s="8">
        <v>2</v>
      </c>
      <c r="CA54" s="8">
        <v>2</v>
      </c>
      <c r="CB54" s="8">
        <v>2</v>
      </c>
      <c r="CC54" s="8">
        <v>-1</v>
      </c>
      <c r="CD54" s="8">
        <v>0</v>
      </c>
      <c r="CE54" s="8">
        <v>7</v>
      </c>
      <c r="CF54" s="9">
        <v>1.2391826260961967</v>
      </c>
      <c r="CG54" s="9">
        <v>1.000840296827729</v>
      </c>
      <c r="CH54" s="9">
        <v>0.94127030065081319</v>
      </c>
      <c r="CI54" s="9">
        <v>0.92235832161438513</v>
      </c>
      <c r="CJ54" s="9">
        <v>1.0542318496556169</v>
      </c>
      <c r="CK54" s="9">
        <v>1.6371277281018652</v>
      </c>
      <c r="CL54" s="9">
        <v>2.2049888770533945</v>
      </c>
      <c r="CM54" s="9">
        <v>1.1040018161555853</v>
      </c>
      <c r="CN54" s="9">
        <v>0.90653953289467237</v>
      </c>
      <c r="CO54" s="9">
        <v>0.82593707239220993</v>
      </c>
      <c r="CP54" s="9">
        <v>0.81123815410438904</v>
      </c>
      <c r="CQ54" s="9">
        <v>1.1172232774888007</v>
      </c>
      <c r="CR54" s="9">
        <v>1.849913734134879</v>
      </c>
      <c r="CS54" s="9">
        <v>2.3851464128294642</v>
      </c>
      <c r="CT54" s="9">
        <v>1.1421610759690763</v>
      </c>
      <c r="CU54" s="9">
        <v>0.88503895598600524</v>
      </c>
      <c r="CV54" s="9">
        <v>0.79418317705646413</v>
      </c>
      <c r="CW54" s="9">
        <v>0.73727187081379564</v>
      </c>
      <c r="CX54" s="9">
        <v>0.90213491309579286</v>
      </c>
      <c r="CY54" s="9">
        <v>1.6396421588418153</v>
      </c>
      <c r="CZ54" s="9">
        <v>1.8995678482370508</v>
      </c>
      <c r="DA54" s="9">
        <v>1.0056085125103571</v>
      </c>
      <c r="DB54" s="9">
        <v>0.80957839635004114</v>
      </c>
      <c r="DC54" s="9">
        <v>0.75131785297800402</v>
      </c>
      <c r="DD54" s="9">
        <v>0.71705719786184707</v>
      </c>
      <c r="DE54" s="9">
        <v>0.93719854207971887</v>
      </c>
      <c r="DF54" s="9">
        <v>1.7430373835387729</v>
      </c>
      <c r="DG54" s="9">
        <v>2.0362021146812577</v>
      </c>
      <c r="DH54" s="9">
        <v>1.0414541359453708</v>
      </c>
      <c r="DI54" s="9">
        <v>0.95854586405462894</v>
      </c>
      <c r="DJ54" s="9"/>
      <c r="DK54" s="9">
        <v>9</v>
      </c>
      <c r="DL54" s="9">
        <v>9</v>
      </c>
      <c r="DM54" s="9">
        <v>8</v>
      </c>
      <c r="DN54" s="9">
        <v>8</v>
      </c>
      <c r="DO54" s="9">
        <v>2</v>
      </c>
      <c r="DP54" s="9"/>
      <c r="DQ54" s="9">
        <v>36</v>
      </c>
      <c r="DR54" s="8">
        <f>+SUM(Tabla2[[#This Row],[1 gral]:[1 gral]])</f>
        <v>1.2391826260961967</v>
      </c>
      <c r="DS54" s="8">
        <f>+SUM(Tabla2[[#This Row],[1 temm]:[1 temm]])</f>
        <v>0.27537391691026591</v>
      </c>
      <c r="DT54" s="8">
        <f>+SUM(Tabla2[[#This Row],[1 porta]:[1 porta]])</f>
        <v>0</v>
      </c>
      <c r="DU54" s="8">
        <f>+Tabla2[[#This Row],[GRAL]]-(Tabla2[[#This Row],[TEMM14]]+Tabla2[[#This Row],[PORTA15]])</f>
        <v>0.96380870918593076</v>
      </c>
    </row>
    <row r="55" spans="1:125" x14ac:dyDescent="0.2">
      <c r="A55" s="84" t="s">
        <v>99</v>
      </c>
      <c r="B55" s="84" t="s">
        <v>482</v>
      </c>
      <c r="C55" s="11" t="s">
        <v>125</v>
      </c>
      <c r="D55" s="11">
        <v>2092138</v>
      </c>
      <c r="E55" s="11" t="s">
        <v>111</v>
      </c>
      <c r="F55" s="11" t="s">
        <v>308</v>
      </c>
      <c r="G55" s="43" t="s">
        <v>281</v>
      </c>
      <c r="H55" s="10">
        <v>0.12059800083105997</v>
      </c>
      <c r="I55" s="10">
        <v>0.16789847649467127</v>
      </c>
      <c r="J55" s="10">
        <v>0.1562207193579257</v>
      </c>
      <c r="K55" s="10">
        <v>0.15006952754027642</v>
      </c>
      <c r="L55" s="10">
        <v>0.16374086192033718</v>
      </c>
      <c r="M55" s="10">
        <v>0.14743099948912008</v>
      </c>
      <c r="N55" s="10">
        <v>9.4041414366609274E-2</v>
      </c>
      <c r="O55" s="10">
        <v>0.13456875821488182</v>
      </c>
      <c r="P55" s="10">
        <v>0.15707930258261715</v>
      </c>
      <c r="Q55" s="10">
        <v>0.1366666184667969</v>
      </c>
      <c r="R55" s="10">
        <v>0.15251213813195408</v>
      </c>
      <c r="S55" s="10">
        <v>0.16144595225895933</v>
      </c>
      <c r="T55" s="10">
        <v>0.17017767644203829</v>
      </c>
      <c r="U55" s="10">
        <v>8.7549553902752458E-2</v>
      </c>
      <c r="V55" s="10">
        <v>0.13996353763244257</v>
      </c>
      <c r="W55" s="10">
        <v>0.16408049301484401</v>
      </c>
      <c r="X55" s="10">
        <v>0.14972686275640418</v>
      </c>
      <c r="Y55" s="10">
        <v>0.1463085242518728</v>
      </c>
      <c r="Z55" s="10">
        <v>0.15374768661164634</v>
      </c>
      <c r="AA55" s="10">
        <v>0.16100337430944414</v>
      </c>
      <c r="AB55" s="10">
        <v>8.5169521423346065E-2</v>
      </c>
      <c r="AC55" s="10">
        <v>0.14462106218700971</v>
      </c>
      <c r="AD55" s="10">
        <v>0.15927880292158872</v>
      </c>
      <c r="AE55" s="10">
        <v>0.15323481470929368</v>
      </c>
      <c r="AF55" s="10">
        <v>0.13729451948603222</v>
      </c>
      <c r="AG55" s="10">
        <v>0.15608969598895889</v>
      </c>
      <c r="AH55" s="10">
        <v>0.163037646001296</v>
      </c>
      <c r="AI55" s="10">
        <v>8.6443458705820736E-2</v>
      </c>
      <c r="AJ55" s="10">
        <v>0.49060673664580357</v>
      </c>
      <c r="AK55" s="10">
        <v>0.50939326335419632</v>
      </c>
      <c r="AL55" s="10">
        <v>0</v>
      </c>
      <c r="AM55" s="6">
        <v>1</v>
      </c>
      <c r="AN55" s="8">
        <v>1</v>
      </c>
      <c r="AO55" s="8">
        <v>1</v>
      </c>
      <c r="AP55" s="8">
        <v>1</v>
      </c>
      <c r="AQ55" s="8">
        <v>1</v>
      </c>
      <c r="AR55" s="8">
        <v>0</v>
      </c>
      <c r="AS55" s="87">
        <v>5</v>
      </c>
      <c r="AT55" s="8">
        <v>0.67134583465159181</v>
      </c>
      <c r="AU55" s="8">
        <v>0.6127163861958842</v>
      </c>
      <c r="AV55" s="8">
        <v>0.57456307520273153</v>
      </c>
      <c r="AW55" s="8">
        <v>0.5600065593688921</v>
      </c>
      <c r="AX55" s="8">
        <v>0.63228835065616684</v>
      </c>
      <c r="AY55" s="8">
        <v>0.87504332308994903</v>
      </c>
      <c r="AZ55" s="8">
        <v>1.0740364708347847</v>
      </c>
      <c r="BA55" s="8">
        <v>0.62523623206180867</v>
      </c>
      <c r="BB55" s="8">
        <v>0.55998576164691594</v>
      </c>
      <c r="BC55" s="8">
        <v>0.50374976175222352</v>
      </c>
      <c r="BD55" s="8">
        <v>0.51306242884501585</v>
      </c>
      <c r="BE55" s="8">
        <v>0.65798963114287068</v>
      </c>
      <c r="BF55" s="8">
        <v>0.99236155827976225</v>
      </c>
      <c r="BG55" s="8">
        <v>1.1476146262714031</v>
      </c>
      <c r="BH55" s="8">
        <v>0.71104407561698069</v>
      </c>
      <c r="BI55" s="8">
        <v>0.60659997100784668</v>
      </c>
      <c r="BJ55" s="8">
        <v>0.54681845128463624</v>
      </c>
      <c r="BK55" s="8">
        <v>0.51494445965877067</v>
      </c>
      <c r="BL55" s="8">
        <v>0.60481514315954277</v>
      </c>
      <c r="BM55" s="8">
        <v>0.98082445373035176</v>
      </c>
      <c r="BN55" s="8">
        <v>1.0349534455418714</v>
      </c>
      <c r="BO55" s="8">
        <v>0.64742531844218831</v>
      </c>
      <c r="BP55" s="8">
        <v>0.56406800109660926</v>
      </c>
      <c r="BQ55" s="8">
        <v>0.52889374119829569</v>
      </c>
      <c r="BR55" s="8">
        <v>0.49582311841695575</v>
      </c>
      <c r="BS55" s="8">
        <v>0.62468896702881826</v>
      </c>
      <c r="BT55" s="8">
        <v>1.0345563377706823</v>
      </c>
      <c r="BU55" s="8">
        <v>1.1045445160464495</v>
      </c>
      <c r="BV55" s="8">
        <v>0</v>
      </c>
      <c r="BW55" s="8">
        <v>0</v>
      </c>
      <c r="BX55" s="8">
        <v>0</v>
      </c>
      <c r="BY55" s="8">
        <v>5</v>
      </c>
      <c r="BZ55" s="8">
        <v>5</v>
      </c>
      <c r="CA55" s="8">
        <v>5</v>
      </c>
      <c r="CB55" s="8">
        <v>5</v>
      </c>
      <c r="CC55" s="8">
        <v>0</v>
      </c>
      <c r="CD55" s="8">
        <v>0</v>
      </c>
      <c r="CE55" s="8">
        <v>20</v>
      </c>
      <c r="CF55" s="9">
        <v>1.3597806269272565</v>
      </c>
      <c r="CG55" s="9">
        <v>1.1687387733224004</v>
      </c>
      <c r="CH55" s="9">
        <v>1.0974910200087389</v>
      </c>
      <c r="CI55" s="9">
        <v>1.0724278491546615</v>
      </c>
      <c r="CJ55" s="9">
        <v>1.217972711575954</v>
      </c>
      <c r="CK55" s="9">
        <v>1.7845587275909853</v>
      </c>
      <c r="CL55" s="9">
        <v>2.2990302914200038</v>
      </c>
      <c r="CM55" s="9">
        <v>1.2385705743704674</v>
      </c>
      <c r="CN55" s="9">
        <v>1.0636188354772895</v>
      </c>
      <c r="CO55" s="9">
        <v>0.96260369085900677</v>
      </c>
      <c r="CP55" s="9">
        <v>0.96375029223634301</v>
      </c>
      <c r="CQ55" s="9">
        <v>1.2786692297477598</v>
      </c>
      <c r="CR55" s="9">
        <v>2.0200914105769172</v>
      </c>
      <c r="CS55" s="9">
        <v>2.4726959667322164</v>
      </c>
      <c r="CT55" s="9">
        <v>1.282124613601519</v>
      </c>
      <c r="CU55" s="9">
        <v>1.0491194490008493</v>
      </c>
      <c r="CV55" s="9">
        <v>0.94391003981286836</v>
      </c>
      <c r="CW55" s="9">
        <v>0.88358039506566843</v>
      </c>
      <c r="CX55" s="9">
        <v>1.0558825997074393</v>
      </c>
      <c r="CY55" s="9">
        <v>1.8006455331512594</v>
      </c>
      <c r="CZ55" s="9">
        <v>1.9847373696603969</v>
      </c>
      <c r="DA55" s="9">
        <v>1.150229574697367</v>
      </c>
      <c r="DB55" s="9">
        <v>0.96885719927162983</v>
      </c>
      <c r="DC55" s="9">
        <v>0.9045526676872977</v>
      </c>
      <c r="DD55" s="9">
        <v>0.85435171734787929</v>
      </c>
      <c r="DE55" s="9">
        <v>1.0932882380686777</v>
      </c>
      <c r="DF55" s="9">
        <v>1.9060750295400688</v>
      </c>
      <c r="DG55" s="9">
        <v>2.1226455733870786</v>
      </c>
      <c r="DH55" s="9">
        <v>1.0414541359453708</v>
      </c>
      <c r="DI55" s="9">
        <v>0.95854586405462894</v>
      </c>
      <c r="DJ55" s="9"/>
      <c r="DK55" s="9">
        <v>10</v>
      </c>
      <c r="DL55" s="9">
        <v>10</v>
      </c>
      <c r="DM55" s="9">
        <v>9</v>
      </c>
      <c r="DN55" s="9">
        <v>9</v>
      </c>
      <c r="DO55" s="9">
        <v>2</v>
      </c>
      <c r="DP55" s="9"/>
      <c r="DQ55" s="9">
        <v>40</v>
      </c>
      <c r="DR55" s="8">
        <f>+SUM(Tabla2[[#This Row],[1 gral]:[1 gral]])</f>
        <v>1.3597806269272565</v>
      </c>
      <c r="DS55" s="8">
        <f>+SUM(Tabla2[[#This Row],[1 temm]:[1 temm]])</f>
        <v>0.67134583465159181</v>
      </c>
      <c r="DT55" s="8">
        <f>+SUM(Tabla2[[#This Row],[1 porta]:[1 porta]])</f>
        <v>0.12059800083105997</v>
      </c>
      <c r="DU55" s="8">
        <f>+Tabla2[[#This Row],[GRAL]]-(Tabla2[[#This Row],[TEMM14]]+Tabla2[[#This Row],[PORTA15]])</f>
        <v>0.56783679144460475</v>
      </c>
    </row>
    <row r="56" spans="1:125" hidden="1" x14ac:dyDescent="0.2">
      <c r="A56" s="84" t="s">
        <v>455</v>
      </c>
      <c r="B56" s="84" t="s">
        <v>483</v>
      </c>
      <c r="C56" s="11" t="s">
        <v>450</v>
      </c>
      <c r="D56" s="11">
        <v>2092175</v>
      </c>
      <c r="E56" s="11" t="s">
        <v>418</v>
      </c>
      <c r="F56" s="11" t="s">
        <v>460</v>
      </c>
      <c r="G56" s="43" t="s">
        <v>281</v>
      </c>
      <c r="H56" s="10">
        <v>0.12059800083105997</v>
      </c>
      <c r="I56" s="10">
        <v>0.16789847649467127</v>
      </c>
      <c r="J56" s="10">
        <v>0.1562207193579257</v>
      </c>
      <c r="K56" s="10">
        <v>0.15006952754027642</v>
      </c>
      <c r="L56" s="10">
        <v>0.16374086192033718</v>
      </c>
      <c r="M56" s="10">
        <v>0.14743099948912008</v>
      </c>
      <c r="N56" s="10">
        <v>9.4041414366609274E-2</v>
      </c>
      <c r="O56" s="10">
        <v>0.13456875821488182</v>
      </c>
      <c r="P56" s="10">
        <v>0.15707930258261715</v>
      </c>
      <c r="Q56" s="10">
        <v>0.1366666184667969</v>
      </c>
      <c r="R56" s="10">
        <v>0.15251213813195408</v>
      </c>
      <c r="S56" s="10">
        <v>0.16144595225895933</v>
      </c>
      <c r="T56" s="10">
        <v>0.17017767644203829</v>
      </c>
      <c r="U56" s="10">
        <v>8.7549553902752458E-2</v>
      </c>
      <c r="V56" s="10">
        <v>0.13996353763244257</v>
      </c>
      <c r="W56" s="10">
        <v>0.16408049301484401</v>
      </c>
      <c r="X56" s="10">
        <v>0.14972686275640418</v>
      </c>
      <c r="Y56" s="10">
        <v>0.1463085242518728</v>
      </c>
      <c r="Z56" s="10">
        <v>0.15374768661164634</v>
      </c>
      <c r="AA56" s="10">
        <v>0.16100337430944414</v>
      </c>
      <c r="AB56" s="10">
        <v>8.5169521423346065E-2</v>
      </c>
      <c r="AC56" s="10">
        <v>0.14462106218700971</v>
      </c>
      <c r="AD56" s="10">
        <v>0.15927880292158872</v>
      </c>
      <c r="AE56" s="10">
        <v>0.15323481470929368</v>
      </c>
      <c r="AF56" s="10">
        <v>0.13729451948603222</v>
      </c>
      <c r="AG56" s="10">
        <v>0.15608969598895889</v>
      </c>
      <c r="AH56" s="10">
        <v>0.163037646001296</v>
      </c>
      <c r="AI56" s="10">
        <v>8.6443458705820736E-2</v>
      </c>
      <c r="AJ56" s="10">
        <v>0</v>
      </c>
      <c r="AK56" s="10">
        <v>0</v>
      </c>
      <c r="AL56" s="10">
        <v>0</v>
      </c>
      <c r="AM56" s="6">
        <v>1</v>
      </c>
      <c r="AN56" s="8">
        <v>1</v>
      </c>
      <c r="AO56" s="8">
        <v>1</v>
      </c>
      <c r="AP56" s="8">
        <v>1</v>
      </c>
      <c r="AQ56" s="8">
        <v>0</v>
      </c>
      <c r="AR56" s="8">
        <v>0</v>
      </c>
      <c r="AS56" s="64">
        <v>4</v>
      </c>
      <c r="AT56" s="8">
        <v>0.82612175073079774</v>
      </c>
      <c r="AU56" s="8">
        <v>0.66722686455181934</v>
      </c>
      <c r="AV56" s="8">
        <v>0.62751353376720886</v>
      </c>
      <c r="AW56" s="8">
        <v>0.6149055477429235</v>
      </c>
      <c r="AX56" s="8">
        <v>0.70282123310374456</v>
      </c>
      <c r="AY56" s="8">
        <v>1.0914184854012434</v>
      </c>
      <c r="AZ56" s="8">
        <v>1.469992584702263</v>
      </c>
      <c r="BA56" s="8">
        <v>0.73600121077039027</v>
      </c>
      <c r="BB56" s="8">
        <v>0.60435968859644829</v>
      </c>
      <c r="BC56" s="8">
        <v>0.55062471492813991</v>
      </c>
      <c r="BD56" s="8">
        <v>0.54082543606959266</v>
      </c>
      <c r="BE56" s="8">
        <v>0.74481551832586712</v>
      </c>
      <c r="BF56" s="8">
        <v>1.2332758227565859</v>
      </c>
      <c r="BG56" s="8">
        <v>1.5900976085529761</v>
      </c>
      <c r="BH56" s="8">
        <v>0.85662080697680731</v>
      </c>
      <c r="BI56" s="8">
        <v>0.66377921698950393</v>
      </c>
      <c r="BJ56" s="8">
        <v>0.59563738279234812</v>
      </c>
      <c r="BK56" s="8">
        <v>0.55295390311034676</v>
      </c>
      <c r="BL56" s="8">
        <v>0.67660118482184461</v>
      </c>
      <c r="BM56" s="8">
        <v>1.2297316191313614</v>
      </c>
      <c r="BN56" s="8">
        <v>1.4246758861777882</v>
      </c>
      <c r="BO56" s="8">
        <v>0.75420638438276777</v>
      </c>
      <c r="BP56" s="8">
        <v>0.60718379726253091</v>
      </c>
      <c r="BQ56" s="8">
        <v>0.56348838973350301</v>
      </c>
      <c r="BR56" s="8">
        <v>0.53779289839638533</v>
      </c>
      <c r="BS56" s="8">
        <v>0.70289890655978915</v>
      </c>
      <c r="BT56" s="8">
        <v>1.3072780376540796</v>
      </c>
      <c r="BU56" s="8">
        <v>1.5271515860109433</v>
      </c>
      <c r="BV56" s="8">
        <v>0.55084739929956739</v>
      </c>
      <c r="BW56" s="8">
        <v>0.44915260070043256</v>
      </c>
      <c r="BX56" s="8">
        <v>0</v>
      </c>
      <c r="BY56" s="8">
        <v>6</v>
      </c>
      <c r="BZ56" s="8">
        <v>6</v>
      </c>
      <c r="CA56" s="8">
        <v>6</v>
      </c>
      <c r="CB56" s="8">
        <v>6</v>
      </c>
      <c r="CC56" s="8">
        <v>1</v>
      </c>
      <c r="CD56" s="8">
        <v>0</v>
      </c>
      <c r="CE56" s="8">
        <v>25</v>
      </c>
      <c r="CF56" s="9">
        <v>1.3597806269272565</v>
      </c>
      <c r="CG56" s="9">
        <v>1.1687387733224002</v>
      </c>
      <c r="CH56" s="9">
        <v>1.0974910200087389</v>
      </c>
      <c r="CI56" s="9">
        <v>1.0724278491546615</v>
      </c>
      <c r="CJ56" s="9">
        <v>1.217972711575954</v>
      </c>
      <c r="CK56" s="9">
        <v>1.7845587275909853</v>
      </c>
      <c r="CL56" s="9">
        <v>2.2990302914200038</v>
      </c>
      <c r="CM56" s="9">
        <v>1.2385705743704671</v>
      </c>
      <c r="CN56" s="9">
        <v>1.0636188354772895</v>
      </c>
      <c r="CO56" s="9">
        <v>0.96260369085900677</v>
      </c>
      <c r="CP56" s="9">
        <v>0.96375029223634301</v>
      </c>
      <c r="CQ56" s="9">
        <v>1.27866922974776</v>
      </c>
      <c r="CR56" s="9">
        <v>2.0200914105769172</v>
      </c>
      <c r="CS56" s="9">
        <v>2.4726959667322168</v>
      </c>
      <c r="CT56" s="9">
        <v>1.4248947480976537</v>
      </c>
      <c r="CU56" s="9">
        <v>1.1597493184990999</v>
      </c>
      <c r="CV56" s="9">
        <v>1.0431829369449264</v>
      </c>
      <c r="CW56" s="9">
        <v>0.97573937891739293</v>
      </c>
      <c r="CX56" s="9">
        <v>1.1686494638444134</v>
      </c>
      <c r="CY56" s="9">
        <v>2.0056008030064865</v>
      </c>
      <c r="CZ56" s="9">
        <v>2.2221833506900284</v>
      </c>
      <c r="DA56" s="9">
        <v>1.1502295746973668</v>
      </c>
      <c r="DB56" s="9">
        <v>0.96885719927162994</v>
      </c>
      <c r="DC56" s="9">
        <v>0.9045526676872977</v>
      </c>
      <c r="DD56" s="9">
        <v>0.85435171734787929</v>
      </c>
      <c r="DE56" s="9">
        <v>1.0932882380686779</v>
      </c>
      <c r="DF56" s="9">
        <v>1.906075029540069</v>
      </c>
      <c r="DG56" s="9">
        <v>2.1226455733870786</v>
      </c>
      <c r="DH56" s="9">
        <v>0.55084739929956739</v>
      </c>
      <c r="DI56" s="9">
        <v>0.44915260070043256</v>
      </c>
      <c r="DJ56" s="9"/>
      <c r="DK56" s="9">
        <v>10</v>
      </c>
      <c r="DL56" s="9">
        <v>10</v>
      </c>
      <c r="DM56" s="9">
        <v>10</v>
      </c>
      <c r="DN56" s="9">
        <v>9</v>
      </c>
      <c r="DO56" s="9">
        <v>1</v>
      </c>
      <c r="DP56" s="9"/>
      <c r="DQ56" s="9">
        <v>40</v>
      </c>
      <c r="DR56" s="8">
        <f>+SUM(Tabla2[[#This Row],[1 gral]:[1 gral]])</f>
        <v>1.3597806269272565</v>
      </c>
      <c r="DS56" s="8">
        <f>+SUM(Tabla2[[#This Row],[1 temm]:[1 temm]])</f>
        <v>0.82612175073079774</v>
      </c>
      <c r="DT56" s="8">
        <f>+SUM(Tabla2[[#This Row],[1 porta]:[1 porta]])</f>
        <v>0.12059800083105997</v>
      </c>
      <c r="DU56" s="8">
        <f>+Tabla2[[#This Row],[GRAL]]-(Tabla2[[#This Row],[TEMM14]]+Tabla2[[#This Row],[PORTA15]])</f>
        <v>0.41306087536539882</v>
      </c>
    </row>
    <row r="57" spans="1:125" x14ac:dyDescent="0.2">
      <c r="A57" s="84" t="s">
        <v>124</v>
      </c>
      <c r="B57" s="84" t="s">
        <v>482</v>
      </c>
      <c r="C57" s="11" t="s">
        <v>125</v>
      </c>
      <c r="D57" s="11">
        <v>2092192</v>
      </c>
      <c r="E57" s="11" t="s">
        <v>316</v>
      </c>
      <c r="F57" s="11" t="s">
        <v>306</v>
      </c>
      <c r="G57" s="43" t="s">
        <v>282</v>
      </c>
      <c r="H57" s="10">
        <v>0.12059800083105997</v>
      </c>
      <c r="I57" s="10">
        <v>0.16789847649467127</v>
      </c>
      <c r="J57" s="10">
        <v>0.1562207193579257</v>
      </c>
      <c r="K57" s="10">
        <v>0.15006952754027642</v>
      </c>
      <c r="L57" s="10">
        <v>0.16374086192033718</v>
      </c>
      <c r="M57" s="10">
        <v>0.14743099948912008</v>
      </c>
      <c r="N57" s="10">
        <v>9.4041414366609274E-2</v>
      </c>
      <c r="O57" s="10">
        <v>0.13456875821488182</v>
      </c>
      <c r="P57" s="10">
        <v>0.15707930258261715</v>
      </c>
      <c r="Q57" s="10">
        <v>0.1366666184667969</v>
      </c>
      <c r="R57" s="10">
        <v>0.15251213813195408</v>
      </c>
      <c r="S57" s="10">
        <v>0.16144595225895933</v>
      </c>
      <c r="T57" s="10">
        <v>0.17017767644203829</v>
      </c>
      <c r="U57" s="10">
        <v>8.7549553902752458E-2</v>
      </c>
      <c r="V57" s="10">
        <v>0.13996353763244257</v>
      </c>
      <c r="W57" s="10">
        <v>0.16408049301484401</v>
      </c>
      <c r="X57" s="10">
        <v>0.14972686275640418</v>
      </c>
      <c r="Y57" s="10">
        <v>0.1463085242518728</v>
      </c>
      <c r="Z57" s="10">
        <v>0.15374768661164634</v>
      </c>
      <c r="AA57" s="10">
        <v>0.16100337430944414</v>
      </c>
      <c r="AB57" s="10">
        <v>8.5169521423346065E-2</v>
      </c>
      <c r="AC57" s="10">
        <v>0.14462106218700971</v>
      </c>
      <c r="AD57" s="10">
        <v>0.15927880292158872</v>
      </c>
      <c r="AE57" s="10">
        <v>0.15323481470929368</v>
      </c>
      <c r="AF57" s="10">
        <v>0.13729451948603222</v>
      </c>
      <c r="AG57" s="10">
        <v>0.15608969598895889</v>
      </c>
      <c r="AH57" s="10">
        <v>0.163037646001296</v>
      </c>
      <c r="AI57" s="10">
        <v>8.6443458705820736E-2</v>
      </c>
      <c r="AJ57" s="10">
        <v>0.49060673664580357</v>
      </c>
      <c r="AK57" s="10">
        <v>0.50939326335419632</v>
      </c>
      <c r="AL57" s="10">
        <v>0</v>
      </c>
      <c r="AM57" s="6">
        <v>1</v>
      </c>
      <c r="AN57" s="8">
        <v>1</v>
      </c>
      <c r="AO57" s="8">
        <v>1</v>
      </c>
      <c r="AP57" s="8">
        <v>1</v>
      </c>
      <c r="AQ57" s="8">
        <v>1</v>
      </c>
      <c r="AR57" s="8">
        <v>0</v>
      </c>
      <c r="AS57" s="87">
        <v>5</v>
      </c>
      <c r="AT57" s="8">
        <v>0.96380870918593065</v>
      </c>
      <c r="AU57" s="8">
        <v>0.7784313419771226</v>
      </c>
      <c r="AV57" s="8">
        <v>0.73209912272841027</v>
      </c>
      <c r="AW57" s="8">
        <v>0.71738980570007738</v>
      </c>
      <c r="AX57" s="8">
        <v>0.81995810528770197</v>
      </c>
      <c r="AY57" s="8">
        <v>1.2733215663014508</v>
      </c>
      <c r="AZ57" s="8">
        <v>1.7149913488193069</v>
      </c>
      <c r="BA57" s="8">
        <v>0.85866807923212196</v>
      </c>
      <c r="BB57" s="8">
        <v>0.70508630336252298</v>
      </c>
      <c r="BC57" s="8">
        <v>0.64239550074949658</v>
      </c>
      <c r="BD57" s="8">
        <v>0.63096300874785816</v>
      </c>
      <c r="BE57" s="8">
        <v>0.86895143804684494</v>
      </c>
      <c r="BF57" s="8">
        <v>1.438821793216017</v>
      </c>
      <c r="BG57" s="8">
        <v>1.8551138766451387</v>
      </c>
      <c r="BH57" s="8">
        <v>0.85662080697680731</v>
      </c>
      <c r="BI57" s="8">
        <v>0.66377921698950393</v>
      </c>
      <c r="BJ57" s="8">
        <v>0.59563738279234812</v>
      </c>
      <c r="BK57" s="8">
        <v>0.55295390311034676</v>
      </c>
      <c r="BL57" s="8">
        <v>0.67660118482184461</v>
      </c>
      <c r="BM57" s="8">
        <v>1.2297316191313614</v>
      </c>
      <c r="BN57" s="8">
        <v>1.4246758861777882</v>
      </c>
      <c r="BO57" s="8">
        <v>0.75420638438276777</v>
      </c>
      <c r="BP57" s="8">
        <v>0.60718379726253091</v>
      </c>
      <c r="BQ57" s="8">
        <v>0.56348838973350301</v>
      </c>
      <c r="BR57" s="8">
        <v>0.53779289839638533</v>
      </c>
      <c r="BS57" s="8">
        <v>0.70289890655978915</v>
      </c>
      <c r="BT57" s="8">
        <v>1.3072780376540796</v>
      </c>
      <c r="BU57" s="8">
        <v>1.5271515860109433</v>
      </c>
      <c r="BV57" s="8">
        <v>1.1016947985991348</v>
      </c>
      <c r="BW57" s="8">
        <v>0.89830520140086512</v>
      </c>
      <c r="BX57" s="8">
        <v>0</v>
      </c>
      <c r="BY57" s="8">
        <v>7</v>
      </c>
      <c r="BZ57" s="8">
        <v>7</v>
      </c>
      <c r="CA57" s="8">
        <v>6</v>
      </c>
      <c r="CB57" s="8">
        <v>6</v>
      </c>
      <c r="CC57" s="8">
        <v>2</v>
      </c>
      <c r="CD57" s="8">
        <v>0</v>
      </c>
      <c r="CE57" s="8">
        <v>28</v>
      </c>
      <c r="CF57" s="9">
        <v>2.0482154192029212</v>
      </c>
      <c r="CG57" s="9">
        <v>1.7247611604489164</v>
      </c>
      <c r="CH57" s="9">
        <v>1.6204189648147462</v>
      </c>
      <c r="CI57" s="9">
        <v>1.5848491389404311</v>
      </c>
      <c r="CJ57" s="9">
        <v>1.8036570724957413</v>
      </c>
      <c r="CK57" s="9">
        <v>2.6940741320920214</v>
      </c>
      <c r="CL57" s="9">
        <v>3.5240241120052231</v>
      </c>
      <c r="CM57" s="9">
        <v>1.8519049166791257</v>
      </c>
      <c r="CN57" s="9">
        <v>1.5672519093076631</v>
      </c>
      <c r="CO57" s="9">
        <v>1.42145761996579</v>
      </c>
      <c r="CP57" s="9">
        <v>1.4144381556276704</v>
      </c>
      <c r="CQ57" s="9">
        <v>1.8993488283526494</v>
      </c>
      <c r="CR57" s="9">
        <v>3.0478212628740726</v>
      </c>
      <c r="CS57" s="9">
        <v>3.7977773071930301</v>
      </c>
      <c r="CT57" s="9">
        <v>1.8532051515860573</v>
      </c>
      <c r="CU57" s="9">
        <v>1.4916389269938519</v>
      </c>
      <c r="CV57" s="9">
        <v>1.3410016283411004</v>
      </c>
      <c r="CW57" s="9">
        <v>1.2522163304725664</v>
      </c>
      <c r="CX57" s="9">
        <v>1.5069500562553357</v>
      </c>
      <c r="CY57" s="9">
        <v>2.6204666125721667</v>
      </c>
      <c r="CZ57" s="9">
        <v>2.9345212937789222</v>
      </c>
      <c r="DA57" s="9">
        <v>1.6530338309525452</v>
      </c>
      <c r="DB57" s="9">
        <v>1.3736463974466506</v>
      </c>
      <c r="DC57" s="9">
        <v>1.2802115941762997</v>
      </c>
      <c r="DD57" s="9">
        <v>1.2128803162788029</v>
      </c>
      <c r="DE57" s="9">
        <v>1.5618875091085371</v>
      </c>
      <c r="DF57" s="9">
        <v>2.7775937213094553</v>
      </c>
      <c r="DG57" s="9">
        <v>3.1407466307277074</v>
      </c>
      <c r="DH57" s="9">
        <v>2.1431489345445058</v>
      </c>
      <c r="DI57" s="9">
        <v>1.8568510654554939</v>
      </c>
      <c r="DJ57" s="9"/>
      <c r="DK57" s="9">
        <v>15</v>
      </c>
      <c r="DL57" s="9">
        <v>15</v>
      </c>
      <c r="DM57" s="9">
        <v>13</v>
      </c>
      <c r="DN57" s="9">
        <v>13</v>
      </c>
      <c r="DO57" s="9">
        <v>4</v>
      </c>
      <c r="DP57" s="9"/>
      <c r="DQ57" s="9">
        <v>60</v>
      </c>
      <c r="DR57" s="8">
        <f>+SUM(Tabla2[[#This Row],[1 gral]:[1 gral]])</f>
        <v>2.0482154192029212</v>
      </c>
      <c r="DS57" s="8">
        <f>+SUM(Tabla2[[#This Row],[1 temm]:[1 temm]])</f>
        <v>0.96380870918593065</v>
      </c>
      <c r="DT57" s="8">
        <f>+SUM(Tabla2[[#This Row],[1 porta]:[1 porta]])</f>
        <v>0.12059800083105997</v>
      </c>
      <c r="DU57" s="8">
        <f>+Tabla2[[#This Row],[GRAL]]-(Tabla2[[#This Row],[TEMM14]]+Tabla2[[#This Row],[PORTA15]])</f>
        <v>0.96380870918593065</v>
      </c>
    </row>
    <row r="58" spans="1:125" hidden="1" x14ac:dyDescent="0.2">
      <c r="A58" s="84" t="s">
        <v>455</v>
      </c>
      <c r="B58" s="84" t="s">
        <v>483</v>
      </c>
      <c r="C58" s="11" t="s">
        <v>451</v>
      </c>
      <c r="D58" s="11">
        <v>2092219</v>
      </c>
      <c r="E58" s="11" t="s">
        <v>419</v>
      </c>
      <c r="F58" s="11" t="s">
        <v>460</v>
      </c>
      <c r="G58" s="43" t="s">
        <v>282</v>
      </c>
      <c r="H58" s="10">
        <v>0.12059800083105997</v>
      </c>
      <c r="I58" s="10">
        <v>0.16789847649467127</v>
      </c>
      <c r="J58" s="10">
        <v>0.1562207193579257</v>
      </c>
      <c r="K58" s="10">
        <v>0.15006952754027642</v>
      </c>
      <c r="L58" s="10">
        <v>0.16374086192033718</v>
      </c>
      <c r="M58" s="10">
        <v>0.14743099948912008</v>
      </c>
      <c r="N58" s="10">
        <v>9.4041414366609274E-2</v>
      </c>
      <c r="O58" s="10">
        <v>0.13456875821488182</v>
      </c>
      <c r="P58" s="10">
        <v>0.15707930258261715</v>
      </c>
      <c r="Q58" s="10">
        <v>0.1366666184667969</v>
      </c>
      <c r="R58" s="10">
        <v>0.15251213813195408</v>
      </c>
      <c r="S58" s="10">
        <v>0.16144595225895933</v>
      </c>
      <c r="T58" s="10">
        <v>0.17017767644203829</v>
      </c>
      <c r="U58" s="10">
        <v>8.7549553902752458E-2</v>
      </c>
      <c r="V58" s="10">
        <v>0.13996353763244257</v>
      </c>
      <c r="W58" s="10">
        <v>0.16408049301484401</v>
      </c>
      <c r="X58" s="10">
        <v>0.14972686275640418</v>
      </c>
      <c r="Y58" s="10">
        <v>0.1463085242518728</v>
      </c>
      <c r="Z58" s="10">
        <v>0.15374768661164634</v>
      </c>
      <c r="AA58" s="10">
        <v>0.16100337430944414</v>
      </c>
      <c r="AB58" s="10">
        <v>8.5169521423346065E-2</v>
      </c>
      <c r="AC58" s="10">
        <v>0.14462106218700971</v>
      </c>
      <c r="AD58" s="10">
        <v>0.15927880292158872</v>
      </c>
      <c r="AE58" s="10">
        <v>0.15323481470929368</v>
      </c>
      <c r="AF58" s="10">
        <v>0.13729451948603222</v>
      </c>
      <c r="AG58" s="10">
        <v>0.15608969598895889</v>
      </c>
      <c r="AH58" s="10">
        <v>0.163037646001296</v>
      </c>
      <c r="AI58" s="10">
        <v>8.6443458705820736E-2</v>
      </c>
      <c r="AJ58" s="10">
        <v>0</v>
      </c>
      <c r="AK58" s="10">
        <v>0</v>
      </c>
      <c r="AL58" s="10">
        <v>0</v>
      </c>
      <c r="AM58" s="6">
        <v>1</v>
      </c>
      <c r="AN58" s="8">
        <v>1</v>
      </c>
      <c r="AO58" s="8">
        <v>1</v>
      </c>
      <c r="AP58" s="8">
        <v>1</v>
      </c>
      <c r="AQ58" s="8">
        <v>0</v>
      </c>
      <c r="AR58" s="8">
        <v>0</v>
      </c>
      <c r="AS58" s="64">
        <v>4</v>
      </c>
      <c r="AT58" s="8">
        <v>0.5336588761964588</v>
      </c>
      <c r="AU58" s="8">
        <v>0.50151190877058094</v>
      </c>
      <c r="AV58" s="8">
        <v>0.46997748624153013</v>
      </c>
      <c r="AW58" s="8">
        <v>0.45752230141173816</v>
      </c>
      <c r="AX58" s="8">
        <v>0.51515147847220943</v>
      </c>
      <c r="AY58" s="8">
        <v>0.6931402421897418</v>
      </c>
      <c r="AZ58" s="8">
        <v>0.8290377067177408</v>
      </c>
      <c r="BA58" s="8">
        <v>0.50256936360007698</v>
      </c>
      <c r="BB58" s="8">
        <v>0.4592591468808413</v>
      </c>
      <c r="BC58" s="8">
        <v>0.41197897593086685</v>
      </c>
      <c r="BD58" s="8">
        <v>0.42292485616675041</v>
      </c>
      <c r="BE58" s="8">
        <v>0.53385371142189286</v>
      </c>
      <c r="BF58" s="8">
        <v>0.78681558782033123</v>
      </c>
      <c r="BG58" s="8">
        <v>0.88259835817924048</v>
      </c>
      <c r="BH58" s="8">
        <v>0.56827394112084617</v>
      </c>
      <c r="BI58" s="8">
        <v>0.49597010150959597</v>
      </c>
      <c r="BJ58" s="8">
        <v>0.44754555415257824</v>
      </c>
      <c r="BK58" s="8">
        <v>0.42278547580704617</v>
      </c>
      <c r="BL58" s="8">
        <v>0.49204827902256865</v>
      </c>
      <c r="BM58" s="8">
        <v>0.77586918387512482</v>
      </c>
      <c r="BN58" s="8">
        <v>0.79750746451224019</v>
      </c>
      <c r="BO58" s="8">
        <v>0.39602319031459898</v>
      </c>
      <c r="BP58" s="8">
        <v>0.36167340200909903</v>
      </c>
      <c r="BQ58" s="8">
        <v>0.34106427795379468</v>
      </c>
      <c r="BR58" s="8">
        <v>0.31655881895149396</v>
      </c>
      <c r="BS58" s="8">
        <v>0.3903893315088886</v>
      </c>
      <c r="BT58" s="8">
        <v>0.59879699188598923</v>
      </c>
      <c r="BU58" s="8">
        <v>0.59549398737613513</v>
      </c>
      <c r="BV58" s="8">
        <v>-0.49060673664580357</v>
      </c>
      <c r="BW58" s="8">
        <v>-0.50939326335419632</v>
      </c>
      <c r="BX58" s="8">
        <v>0</v>
      </c>
      <c r="BY58" s="8">
        <v>4</v>
      </c>
      <c r="BZ58" s="8">
        <v>4</v>
      </c>
      <c r="CA58" s="8">
        <v>4</v>
      </c>
      <c r="CB58" s="8">
        <v>3</v>
      </c>
      <c r="CC58" s="8">
        <v>-1</v>
      </c>
      <c r="CD58" s="8">
        <v>0</v>
      </c>
      <c r="CE58" s="8">
        <v>14</v>
      </c>
      <c r="CF58" s="9">
        <v>1.3597806269272565</v>
      </c>
      <c r="CG58" s="9">
        <v>1.1687387733224002</v>
      </c>
      <c r="CH58" s="9">
        <v>1.0974910200087389</v>
      </c>
      <c r="CI58" s="9">
        <v>1.0724278491546617</v>
      </c>
      <c r="CJ58" s="9">
        <v>1.217972711575954</v>
      </c>
      <c r="CK58" s="9">
        <v>1.7845587275909853</v>
      </c>
      <c r="CL58" s="9">
        <v>2.2990302914200038</v>
      </c>
      <c r="CM58" s="9">
        <v>1.2385705743704674</v>
      </c>
      <c r="CN58" s="9">
        <v>1.0636188354772895</v>
      </c>
      <c r="CO58" s="9">
        <v>0.96260369085900677</v>
      </c>
      <c r="CP58" s="9">
        <v>0.96375029223634301</v>
      </c>
      <c r="CQ58" s="9">
        <v>1.27866922974776</v>
      </c>
      <c r="CR58" s="9">
        <v>2.0200914105769172</v>
      </c>
      <c r="CS58" s="9">
        <v>2.4726959667322168</v>
      </c>
      <c r="CT58" s="9">
        <v>1.4248947480976535</v>
      </c>
      <c r="CU58" s="9">
        <v>1.1597493184990999</v>
      </c>
      <c r="CV58" s="9">
        <v>1.0431829369449264</v>
      </c>
      <c r="CW58" s="9">
        <v>0.97573937891739293</v>
      </c>
      <c r="CX58" s="9">
        <v>1.1686494638444134</v>
      </c>
      <c r="CY58" s="9">
        <v>2.0056008030064865</v>
      </c>
      <c r="CZ58" s="9">
        <v>2.2221833506900284</v>
      </c>
      <c r="DA58" s="9">
        <v>1.0245285106335722</v>
      </c>
      <c r="DB58" s="9">
        <v>0.86765989972787472</v>
      </c>
      <c r="DC58" s="9">
        <v>0.81063793606504719</v>
      </c>
      <c r="DD58" s="9">
        <v>0.76471956761514837</v>
      </c>
      <c r="DE58" s="9">
        <v>0.9761384203087129</v>
      </c>
      <c r="DF58" s="9">
        <v>1.6881953565977224</v>
      </c>
      <c r="DG58" s="9">
        <v>1.8681203090519212</v>
      </c>
      <c r="DH58" s="9">
        <v>0.55084739929956739</v>
      </c>
      <c r="DI58" s="9">
        <v>0.44915260070043256</v>
      </c>
      <c r="DJ58" s="9"/>
      <c r="DK58" s="9">
        <v>10</v>
      </c>
      <c r="DL58" s="9">
        <v>10</v>
      </c>
      <c r="DM58" s="9">
        <v>10</v>
      </c>
      <c r="DN58" s="9">
        <v>8</v>
      </c>
      <c r="DO58" s="9">
        <v>1</v>
      </c>
      <c r="DP58" s="9"/>
      <c r="DQ58" s="9">
        <v>39</v>
      </c>
      <c r="DR58" s="8">
        <f>+SUM(Tabla2[[#This Row],[1 gral]:[1 gral]])</f>
        <v>1.3597806269272565</v>
      </c>
      <c r="DS58" s="8">
        <f>+SUM(Tabla2[[#This Row],[1 temm]:[1 temm]])</f>
        <v>0.5336588761964588</v>
      </c>
      <c r="DT58" s="8">
        <f>+SUM(Tabla2[[#This Row],[1 porta]:[1 porta]])</f>
        <v>0.12059800083105997</v>
      </c>
      <c r="DU58" s="8">
        <f>+Tabla2[[#This Row],[GRAL]]-(Tabla2[[#This Row],[TEMM14]]+Tabla2[[#This Row],[PORTA15]])</f>
        <v>0.70552374989973776</v>
      </c>
    </row>
    <row r="59" spans="1:125" hidden="1" x14ac:dyDescent="0.2">
      <c r="A59" s="84" t="s">
        <v>455</v>
      </c>
      <c r="B59" s="84" t="s">
        <v>483</v>
      </c>
      <c r="C59" s="11" t="s">
        <v>450</v>
      </c>
      <c r="D59" s="11">
        <v>2092308</v>
      </c>
      <c r="E59" s="11" t="s">
        <v>420</v>
      </c>
      <c r="F59" s="11" t="s">
        <v>462</v>
      </c>
      <c r="G59" s="43" t="s">
        <v>281</v>
      </c>
      <c r="H59" s="10">
        <v>0.12059800083105997</v>
      </c>
      <c r="I59" s="10">
        <v>0.16789847649467127</v>
      </c>
      <c r="J59" s="10">
        <v>0.1562207193579257</v>
      </c>
      <c r="K59" s="10">
        <v>0.15006952754027642</v>
      </c>
      <c r="L59" s="10">
        <v>0.16374086192033718</v>
      </c>
      <c r="M59" s="10">
        <v>0.14743099948912008</v>
      </c>
      <c r="N59" s="10">
        <v>9.4041414366609274E-2</v>
      </c>
      <c r="O59" s="10">
        <v>0.13456875821488182</v>
      </c>
      <c r="P59" s="10">
        <v>0.15707930258261715</v>
      </c>
      <c r="Q59" s="10">
        <v>0.1366666184667969</v>
      </c>
      <c r="R59" s="10">
        <v>0.15251213813195408</v>
      </c>
      <c r="S59" s="10">
        <v>0.16144595225895933</v>
      </c>
      <c r="T59" s="10">
        <v>0.17017767644203829</v>
      </c>
      <c r="U59" s="10">
        <v>8.7549553902752458E-2</v>
      </c>
      <c r="V59" s="10">
        <v>0.13996353763244257</v>
      </c>
      <c r="W59" s="10">
        <v>0.16408049301484401</v>
      </c>
      <c r="X59" s="10">
        <v>0.14972686275640418</v>
      </c>
      <c r="Y59" s="10">
        <v>0.1463085242518728</v>
      </c>
      <c r="Z59" s="10">
        <v>0.15374768661164634</v>
      </c>
      <c r="AA59" s="10">
        <v>0.16100337430944414</v>
      </c>
      <c r="AB59" s="10">
        <v>8.5169521423346065E-2</v>
      </c>
      <c r="AC59" s="10">
        <v>0.14462106218700971</v>
      </c>
      <c r="AD59" s="10">
        <v>0.15927880292158872</v>
      </c>
      <c r="AE59" s="10">
        <v>0.15323481470929368</v>
      </c>
      <c r="AF59" s="10">
        <v>0.13729451948603222</v>
      </c>
      <c r="AG59" s="10">
        <v>0.15608969598895889</v>
      </c>
      <c r="AH59" s="10">
        <v>0.163037646001296</v>
      </c>
      <c r="AI59" s="10">
        <v>8.6443458705820736E-2</v>
      </c>
      <c r="AJ59" s="10">
        <v>0</v>
      </c>
      <c r="AK59" s="10">
        <v>0</v>
      </c>
      <c r="AL59" s="10">
        <v>0</v>
      </c>
      <c r="AM59" s="6">
        <v>1</v>
      </c>
      <c r="AN59" s="8">
        <v>1</v>
      </c>
      <c r="AO59" s="8">
        <v>1</v>
      </c>
      <c r="AP59" s="8">
        <v>1</v>
      </c>
      <c r="AQ59" s="8">
        <v>0</v>
      </c>
      <c r="AR59" s="8">
        <v>0</v>
      </c>
      <c r="AS59" s="64">
        <v>4</v>
      </c>
      <c r="AT59" s="8">
        <v>0.27537391691026591</v>
      </c>
      <c r="AU59" s="8">
        <v>0.22240895485060647</v>
      </c>
      <c r="AV59" s="8">
        <v>0.20917117792240295</v>
      </c>
      <c r="AW59" s="8">
        <v>0.20496851591430781</v>
      </c>
      <c r="AX59" s="8">
        <v>0.23427374436791484</v>
      </c>
      <c r="AY59" s="8">
        <v>0.36380616180041447</v>
      </c>
      <c r="AZ59" s="8">
        <v>0.48999752823408771</v>
      </c>
      <c r="BA59" s="8">
        <v>0.24533373692346341</v>
      </c>
      <c r="BB59" s="8">
        <v>0.20145322953214942</v>
      </c>
      <c r="BC59" s="8">
        <v>0.18354157164271331</v>
      </c>
      <c r="BD59" s="8">
        <v>0.18027514535653089</v>
      </c>
      <c r="BE59" s="8">
        <v>0.24827183944195569</v>
      </c>
      <c r="BF59" s="8">
        <v>0.41109194091886198</v>
      </c>
      <c r="BG59" s="8">
        <v>0.53003253618432533</v>
      </c>
      <c r="BH59" s="8">
        <v>0.28554026899226909</v>
      </c>
      <c r="BI59" s="8">
        <v>0.22125973899650131</v>
      </c>
      <c r="BJ59" s="8">
        <v>0.19854579426411603</v>
      </c>
      <c r="BK59" s="8">
        <v>0.18431796770344891</v>
      </c>
      <c r="BL59" s="8">
        <v>0.22553372827394821</v>
      </c>
      <c r="BM59" s="8">
        <v>0.40991053971045383</v>
      </c>
      <c r="BN59" s="8">
        <v>0.47489196205926271</v>
      </c>
      <c r="BO59" s="8">
        <v>0.25140212812758927</v>
      </c>
      <c r="BP59" s="8">
        <v>0.20239459908751029</v>
      </c>
      <c r="BQ59" s="8">
        <v>0.187829463244501</v>
      </c>
      <c r="BR59" s="8">
        <v>0.17926429946546177</v>
      </c>
      <c r="BS59" s="8">
        <v>0.23429963551992972</v>
      </c>
      <c r="BT59" s="8">
        <v>0.43575934588469323</v>
      </c>
      <c r="BU59" s="8">
        <v>0.50905052867031442</v>
      </c>
      <c r="BV59" s="8">
        <v>-0.55084739929956739</v>
      </c>
      <c r="BW59" s="8">
        <v>-0.44915260070043256</v>
      </c>
      <c r="BX59" s="8">
        <v>0</v>
      </c>
      <c r="BY59" s="8">
        <v>2</v>
      </c>
      <c r="BZ59" s="8">
        <v>2</v>
      </c>
      <c r="CA59" s="8">
        <v>2</v>
      </c>
      <c r="CB59" s="8">
        <v>2</v>
      </c>
      <c r="CC59" s="8">
        <v>-1</v>
      </c>
      <c r="CD59" s="8">
        <v>0</v>
      </c>
      <c r="CE59" s="8">
        <v>7</v>
      </c>
      <c r="CF59" s="9">
        <v>1.3597806269272565</v>
      </c>
      <c r="CG59" s="9">
        <v>1.1687387733224004</v>
      </c>
      <c r="CH59" s="9">
        <v>1.0974910200087389</v>
      </c>
      <c r="CI59" s="9">
        <v>1.0724278491546615</v>
      </c>
      <c r="CJ59" s="9">
        <v>1.217972711575954</v>
      </c>
      <c r="CK59" s="9">
        <v>1.7845587275909853</v>
      </c>
      <c r="CL59" s="9">
        <v>2.2990302914200038</v>
      </c>
      <c r="CM59" s="9">
        <v>1.2385705743704671</v>
      </c>
      <c r="CN59" s="9">
        <v>1.0636188354772895</v>
      </c>
      <c r="CO59" s="9">
        <v>0.96260369085900677</v>
      </c>
      <c r="CP59" s="9">
        <v>0.96375029223634312</v>
      </c>
      <c r="CQ59" s="9">
        <v>1.27866922974776</v>
      </c>
      <c r="CR59" s="9">
        <v>2.0200914105769172</v>
      </c>
      <c r="CS59" s="9">
        <v>2.4726959667322164</v>
      </c>
      <c r="CT59" s="9">
        <v>1.282124613601519</v>
      </c>
      <c r="CU59" s="9">
        <v>1.0491194490008493</v>
      </c>
      <c r="CV59" s="9">
        <v>0.94391003981286836</v>
      </c>
      <c r="CW59" s="9">
        <v>0.88358039506566843</v>
      </c>
      <c r="CX59" s="9">
        <v>1.0558825997074393</v>
      </c>
      <c r="CY59" s="9">
        <v>1.8006455331512594</v>
      </c>
      <c r="CZ59" s="9">
        <v>1.9847373696603969</v>
      </c>
      <c r="DA59" s="9">
        <v>1.1502295746973668</v>
      </c>
      <c r="DB59" s="9">
        <v>0.96885719927162994</v>
      </c>
      <c r="DC59" s="9">
        <v>0.9045526676872977</v>
      </c>
      <c r="DD59" s="9">
        <v>0.85435171734787929</v>
      </c>
      <c r="DE59" s="9">
        <v>1.0932882380686777</v>
      </c>
      <c r="DF59" s="9">
        <v>1.9060750295400688</v>
      </c>
      <c r="DG59" s="9">
        <v>2.1226455733870786</v>
      </c>
      <c r="DH59" s="9">
        <v>0.55084739929956739</v>
      </c>
      <c r="DI59" s="9">
        <v>0.44915260070043256</v>
      </c>
      <c r="DJ59" s="9"/>
      <c r="DK59" s="9">
        <v>10</v>
      </c>
      <c r="DL59" s="9">
        <v>10</v>
      </c>
      <c r="DM59" s="9">
        <v>9</v>
      </c>
      <c r="DN59" s="9">
        <v>9</v>
      </c>
      <c r="DO59" s="9">
        <v>1</v>
      </c>
      <c r="DP59" s="9"/>
      <c r="DQ59" s="9">
        <v>39</v>
      </c>
      <c r="DR59" s="8">
        <f>+SUM(Tabla2[[#This Row],[1 gral]:[1 gral]])</f>
        <v>1.3597806269272565</v>
      </c>
      <c r="DS59" s="8">
        <f>+SUM(Tabla2[[#This Row],[1 temm]:[1 temm]])</f>
        <v>0.27537391691026591</v>
      </c>
      <c r="DT59" s="8">
        <f>+SUM(Tabla2[[#This Row],[1 porta]:[1 porta]])</f>
        <v>0.12059800083105997</v>
      </c>
      <c r="DU59" s="8">
        <f>+Tabla2[[#This Row],[GRAL]]-(Tabla2[[#This Row],[TEMM14]]+Tabla2[[#This Row],[PORTA15]])</f>
        <v>0.96380870918593065</v>
      </c>
    </row>
    <row r="60" spans="1:125" hidden="1" x14ac:dyDescent="0.2">
      <c r="A60" s="84" t="s">
        <v>455</v>
      </c>
      <c r="B60" s="84" t="s">
        <v>483</v>
      </c>
      <c r="C60" s="11" t="s">
        <v>451</v>
      </c>
      <c r="D60" s="11">
        <v>2092309</v>
      </c>
      <c r="E60" s="11" t="s">
        <v>421</v>
      </c>
      <c r="F60" s="11" t="s">
        <v>470</v>
      </c>
      <c r="G60" s="43" t="s">
        <v>281</v>
      </c>
      <c r="H60" s="10">
        <v>0.12059800083105997</v>
      </c>
      <c r="I60" s="10">
        <v>0.16789847649467127</v>
      </c>
      <c r="J60" s="10">
        <v>0.1562207193579257</v>
      </c>
      <c r="K60" s="10">
        <v>0.15006952754027642</v>
      </c>
      <c r="L60" s="10">
        <v>0.16374086192033718</v>
      </c>
      <c r="M60" s="10">
        <v>0.14743099948912008</v>
      </c>
      <c r="N60" s="10">
        <v>9.4041414366609274E-2</v>
      </c>
      <c r="O60" s="10">
        <v>0.13456875821488182</v>
      </c>
      <c r="P60" s="10">
        <v>0.15707930258261715</v>
      </c>
      <c r="Q60" s="10">
        <v>0.1366666184667969</v>
      </c>
      <c r="R60" s="10">
        <v>0.15251213813195408</v>
      </c>
      <c r="S60" s="10">
        <v>0.16144595225895933</v>
      </c>
      <c r="T60" s="10">
        <v>0.17017767644203829</v>
      </c>
      <c r="U60" s="10">
        <v>8.7549553902752458E-2</v>
      </c>
      <c r="V60" s="10">
        <v>0.13996353763244257</v>
      </c>
      <c r="W60" s="10">
        <v>0.16408049301484401</v>
      </c>
      <c r="X60" s="10">
        <v>0.14972686275640418</v>
      </c>
      <c r="Y60" s="10">
        <v>0.1463085242518728</v>
      </c>
      <c r="Z60" s="10">
        <v>0.15374768661164634</v>
      </c>
      <c r="AA60" s="10">
        <v>0.16100337430944414</v>
      </c>
      <c r="AB60" s="10">
        <v>8.5169521423346065E-2</v>
      </c>
      <c r="AC60" s="10">
        <v>0.14462106218700971</v>
      </c>
      <c r="AD60" s="10">
        <v>0.15927880292158872</v>
      </c>
      <c r="AE60" s="10">
        <v>0.15323481470929368</v>
      </c>
      <c r="AF60" s="10">
        <v>0.13729451948603222</v>
      </c>
      <c r="AG60" s="10">
        <v>0.15608969598895889</v>
      </c>
      <c r="AH60" s="10">
        <v>0.163037646001296</v>
      </c>
      <c r="AI60" s="10">
        <v>8.6443458705820736E-2</v>
      </c>
      <c r="AJ60" s="10">
        <v>0</v>
      </c>
      <c r="AK60" s="10">
        <v>0</v>
      </c>
      <c r="AL60" s="10">
        <v>0</v>
      </c>
      <c r="AM60" s="6">
        <v>1</v>
      </c>
      <c r="AN60" s="8">
        <v>1</v>
      </c>
      <c r="AO60" s="8">
        <v>1</v>
      </c>
      <c r="AP60" s="8">
        <v>1</v>
      </c>
      <c r="AQ60" s="8">
        <v>0</v>
      </c>
      <c r="AR60" s="8">
        <v>0</v>
      </c>
      <c r="AS60" s="64">
        <v>4</v>
      </c>
      <c r="AT60" s="8">
        <v>0.82612175073079774</v>
      </c>
      <c r="AU60" s="8">
        <v>0.66722686455181934</v>
      </c>
      <c r="AV60" s="8">
        <v>0.62751353376720886</v>
      </c>
      <c r="AW60" s="8">
        <v>0.6149055477429235</v>
      </c>
      <c r="AX60" s="8">
        <v>0.70282123310374456</v>
      </c>
      <c r="AY60" s="8">
        <v>1.0914184854012434</v>
      </c>
      <c r="AZ60" s="8">
        <v>1.469992584702263</v>
      </c>
      <c r="BA60" s="8">
        <v>0.73600121077039027</v>
      </c>
      <c r="BB60" s="8">
        <v>0.60435968859644829</v>
      </c>
      <c r="BC60" s="8">
        <v>0.55062471492813991</v>
      </c>
      <c r="BD60" s="8">
        <v>0.54082543606959266</v>
      </c>
      <c r="BE60" s="8">
        <v>0.74481551832586712</v>
      </c>
      <c r="BF60" s="8">
        <v>1.2332758227565859</v>
      </c>
      <c r="BG60" s="8">
        <v>1.5900976085529761</v>
      </c>
      <c r="BH60" s="8">
        <v>0.71385067248067269</v>
      </c>
      <c r="BI60" s="8">
        <v>0.55314934749125322</v>
      </c>
      <c r="BJ60" s="8">
        <v>0.49636448566029007</v>
      </c>
      <c r="BK60" s="8">
        <v>0.46079491925862226</v>
      </c>
      <c r="BL60" s="8">
        <v>0.56383432068487049</v>
      </c>
      <c r="BM60" s="8">
        <v>1.0247763492761346</v>
      </c>
      <c r="BN60" s="8">
        <v>1.1872299051481567</v>
      </c>
      <c r="BO60" s="8">
        <v>0.62850532031897322</v>
      </c>
      <c r="BP60" s="8">
        <v>0.50598649771877569</v>
      </c>
      <c r="BQ60" s="8">
        <v>0.46957365811125251</v>
      </c>
      <c r="BR60" s="8">
        <v>0.44816074866365441</v>
      </c>
      <c r="BS60" s="8">
        <v>0.58574908879982424</v>
      </c>
      <c r="BT60" s="8">
        <v>1.0893983647117331</v>
      </c>
      <c r="BU60" s="8">
        <v>1.272626321675786</v>
      </c>
      <c r="BV60" s="8">
        <v>0.55084739929956739</v>
      </c>
      <c r="BW60" s="8">
        <v>0.44915260070043256</v>
      </c>
      <c r="BX60" s="8">
        <v>0</v>
      </c>
      <c r="BY60" s="8">
        <v>6</v>
      </c>
      <c r="BZ60" s="8">
        <v>6</v>
      </c>
      <c r="CA60" s="8">
        <v>5</v>
      </c>
      <c r="CB60" s="8">
        <v>5</v>
      </c>
      <c r="CC60" s="8">
        <v>1</v>
      </c>
      <c r="CD60" s="8">
        <v>0</v>
      </c>
      <c r="CE60" s="8">
        <v>23</v>
      </c>
      <c r="CF60" s="9">
        <v>1.4974675853823896</v>
      </c>
      <c r="CG60" s="9">
        <v>1.2799432507477035</v>
      </c>
      <c r="CH60" s="9">
        <v>1.2020766089699404</v>
      </c>
      <c r="CI60" s="9">
        <v>1.1749121071118154</v>
      </c>
      <c r="CJ60" s="9">
        <v>1.3351095837599114</v>
      </c>
      <c r="CK60" s="9">
        <v>1.9664618084911925</v>
      </c>
      <c r="CL60" s="9">
        <v>2.5440290555370479</v>
      </c>
      <c r="CM60" s="9">
        <v>1.3612374428321989</v>
      </c>
      <c r="CN60" s="9">
        <v>1.1643454502433643</v>
      </c>
      <c r="CO60" s="9">
        <v>1.0543744766803635</v>
      </c>
      <c r="CP60" s="9">
        <v>1.0538878649146084</v>
      </c>
      <c r="CQ60" s="9">
        <v>1.4028051494687377</v>
      </c>
      <c r="CR60" s="9">
        <v>2.2256373810363481</v>
      </c>
      <c r="CS60" s="9">
        <v>2.7377122348243792</v>
      </c>
      <c r="CT60" s="9">
        <v>1.4248947480976533</v>
      </c>
      <c r="CU60" s="9">
        <v>1.1597493184990999</v>
      </c>
      <c r="CV60" s="9">
        <v>1.0431829369449264</v>
      </c>
      <c r="CW60" s="9">
        <v>0.97573937891739293</v>
      </c>
      <c r="CX60" s="9">
        <v>1.1686494638444134</v>
      </c>
      <c r="CY60" s="9">
        <v>2.0056008030064865</v>
      </c>
      <c r="CZ60" s="9">
        <v>2.2221833506900284</v>
      </c>
      <c r="DA60" s="9">
        <v>1.2759306387611615</v>
      </c>
      <c r="DB60" s="9">
        <v>1.0700544988153848</v>
      </c>
      <c r="DC60" s="9">
        <v>0.9984673993095482</v>
      </c>
      <c r="DD60" s="9">
        <v>0.94398386708061022</v>
      </c>
      <c r="DE60" s="9">
        <v>1.2104380558286425</v>
      </c>
      <c r="DF60" s="9">
        <v>2.1239547024824157</v>
      </c>
      <c r="DG60" s="9">
        <v>2.3771708377222356</v>
      </c>
      <c r="DH60" s="9">
        <v>0.55084739929956739</v>
      </c>
      <c r="DI60" s="9">
        <v>0.44915260070043256</v>
      </c>
      <c r="DJ60" s="9"/>
      <c r="DK60" s="9">
        <v>11</v>
      </c>
      <c r="DL60" s="9">
        <v>11</v>
      </c>
      <c r="DM60" s="9">
        <v>10</v>
      </c>
      <c r="DN60" s="9">
        <v>10</v>
      </c>
      <c r="DO60" s="9">
        <v>1</v>
      </c>
      <c r="DP60" s="9"/>
      <c r="DQ60" s="9">
        <v>43</v>
      </c>
      <c r="DR60" s="8">
        <f>+SUM(Tabla2[[#This Row],[1 gral]:[1 gral]])</f>
        <v>1.4974675853823896</v>
      </c>
      <c r="DS60" s="8">
        <f>+SUM(Tabla2[[#This Row],[1 temm]:[1 temm]])</f>
        <v>0.82612175073079774</v>
      </c>
      <c r="DT60" s="8">
        <f>+SUM(Tabla2[[#This Row],[1 porta]:[1 porta]])</f>
        <v>0.12059800083105997</v>
      </c>
      <c r="DU60" s="8">
        <f>+Tabla2[[#This Row],[GRAL]]-(Tabla2[[#This Row],[TEMM14]]+Tabla2[[#This Row],[PORTA15]])</f>
        <v>0.55074783382053183</v>
      </c>
    </row>
    <row r="61" spans="1:125" hidden="1" x14ac:dyDescent="0.2">
      <c r="A61" s="84" t="s">
        <v>455</v>
      </c>
      <c r="B61" s="84" t="s">
        <v>483</v>
      </c>
      <c r="C61" s="11" t="s">
        <v>452</v>
      </c>
      <c r="D61" s="11">
        <v>2092310</v>
      </c>
      <c r="E61" s="11" t="s">
        <v>422</v>
      </c>
      <c r="F61" s="11" t="s">
        <v>464</v>
      </c>
      <c r="G61" s="43" t="s">
        <v>281</v>
      </c>
      <c r="H61" s="10">
        <v>0.12059800083105997</v>
      </c>
      <c r="I61" s="10">
        <v>0.16789847649467127</v>
      </c>
      <c r="J61" s="10">
        <v>0.1562207193579257</v>
      </c>
      <c r="K61" s="10">
        <v>0.15006952754027642</v>
      </c>
      <c r="L61" s="10">
        <v>0.16374086192033718</v>
      </c>
      <c r="M61" s="10">
        <v>0.14743099948912008</v>
      </c>
      <c r="N61" s="10">
        <v>9.4041414366609274E-2</v>
      </c>
      <c r="O61" s="10">
        <v>0.13456875821488182</v>
      </c>
      <c r="P61" s="10">
        <v>0.15707930258261715</v>
      </c>
      <c r="Q61" s="10">
        <v>0.1366666184667969</v>
      </c>
      <c r="R61" s="10">
        <v>0.15251213813195408</v>
      </c>
      <c r="S61" s="10">
        <v>0.16144595225895933</v>
      </c>
      <c r="T61" s="10">
        <v>0.17017767644203829</v>
      </c>
      <c r="U61" s="10">
        <v>8.7549553902752458E-2</v>
      </c>
      <c r="V61" s="10">
        <v>0.13996353763244257</v>
      </c>
      <c r="W61" s="10">
        <v>0.16408049301484401</v>
      </c>
      <c r="X61" s="10">
        <v>0.14972686275640418</v>
      </c>
      <c r="Y61" s="10">
        <v>0.1463085242518728</v>
      </c>
      <c r="Z61" s="10">
        <v>0.15374768661164634</v>
      </c>
      <c r="AA61" s="10">
        <v>0.16100337430944414</v>
      </c>
      <c r="AB61" s="10">
        <v>8.5169521423346065E-2</v>
      </c>
      <c r="AC61" s="10">
        <v>0.14462106218700971</v>
      </c>
      <c r="AD61" s="10">
        <v>0.15927880292158872</v>
      </c>
      <c r="AE61" s="10">
        <v>0.15323481470929368</v>
      </c>
      <c r="AF61" s="10">
        <v>0.13729451948603222</v>
      </c>
      <c r="AG61" s="10">
        <v>0.15608969598895889</v>
      </c>
      <c r="AH61" s="10">
        <v>0.163037646001296</v>
      </c>
      <c r="AI61" s="10">
        <v>8.6443458705820736E-2</v>
      </c>
      <c r="AJ61" s="10">
        <v>0</v>
      </c>
      <c r="AK61" s="10">
        <v>0</v>
      </c>
      <c r="AL61" s="10">
        <v>0</v>
      </c>
      <c r="AM61" s="6">
        <v>1</v>
      </c>
      <c r="AN61" s="8">
        <v>1</v>
      </c>
      <c r="AO61" s="8">
        <v>1</v>
      </c>
      <c r="AP61" s="8">
        <v>1</v>
      </c>
      <c r="AQ61" s="8">
        <v>0</v>
      </c>
      <c r="AR61" s="8">
        <v>0</v>
      </c>
      <c r="AS61" s="64">
        <v>4</v>
      </c>
      <c r="AT61" s="8">
        <v>0.68843479227566484</v>
      </c>
      <c r="AU61" s="8">
        <v>0.55602238712651619</v>
      </c>
      <c r="AV61" s="8">
        <v>0.52292794480600735</v>
      </c>
      <c r="AW61" s="8">
        <v>0.51242128978576951</v>
      </c>
      <c r="AX61" s="8">
        <v>0.58568436091978715</v>
      </c>
      <c r="AY61" s="8">
        <v>0.90951540450103618</v>
      </c>
      <c r="AZ61" s="8">
        <v>1.2249938205852193</v>
      </c>
      <c r="BA61" s="8">
        <v>0.61333434230865858</v>
      </c>
      <c r="BB61" s="8">
        <v>0.50363307383037359</v>
      </c>
      <c r="BC61" s="8">
        <v>0.4588539291067833</v>
      </c>
      <c r="BD61" s="8">
        <v>0.45068786339132721</v>
      </c>
      <c r="BE61" s="8">
        <v>0.62067959860488919</v>
      </c>
      <c r="BF61" s="8">
        <v>1.027729852297155</v>
      </c>
      <c r="BG61" s="8">
        <v>1.3250813404608133</v>
      </c>
      <c r="BH61" s="8">
        <v>0.71385067248067269</v>
      </c>
      <c r="BI61" s="8">
        <v>0.55314934749125322</v>
      </c>
      <c r="BJ61" s="8">
        <v>0.49636448566029007</v>
      </c>
      <c r="BK61" s="8">
        <v>0.46079491925862226</v>
      </c>
      <c r="BL61" s="8">
        <v>0.56383432068487049</v>
      </c>
      <c r="BM61" s="8">
        <v>1.0247763492761346</v>
      </c>
      <c r="BN61" s="8">
        <v>1.1872299051481567</v>
      </c>
      <c r="BO61" s="8">
        <v>0.62850532031897322</v>
      </c>
      <c r="BP61" s="8">
        <v>0.50598649771877569</v>
      </c>
      <c r="BQ61" s="8">
        <v>0.46957365811125251</v>
      </c>
      <c r="BR61" s="8">
        <v>0.44816074866365441</v>
      </c>
      <c r="BS61" s="8">
        <v>0.58574908879982424</v>
      </c>
      <c r="BT61" s="8">
        <v>1.0893983647117331</v>
      </c>
      <c r="BU61" s="8">
        <v>1.272626321675786</v>
      </c>
      <c r="BV61" s="8">
        <v>0.55084739929956739</v>
      </c>
      <c r="BW61" s="8">
        <v>0.44915260070043256</v>
      </c>
      <c r="BX61" s="8">
        <v>0</v>
      </c>
      <c r="BY61" s="8">
        <v>5</v>
      </c>
      <c r="BZ61" s="8">
        <v>5</v>
      </c>
      <c r="CA61" s="8">
        <v>5</v>
      </c>
      <c r="CB61" s="8">
        <v>5</v>
      </c>
      <c r="CC61" s="8">
        <v>1</v>
      </c>
      <c r="CD61" s="8">
        <v>0</v>
      </c>
      <c r="CE61" s="8">
        <v>21</v>
      </c>
      <c r="CF61" s="9">
        <v>1.3597806269272565</v>
      </c>
      <c r="CG61" s="9">
        <v>1.1687387733224004</v>
      </c>
      <c r="CH61" s="9">
        <v>1.0974910200087389</v>
      </c>
      <c r="CI61" s="9">
        <v>1.0724278491546615</v>
      </c>
      <c r="CJ61" s="9">
        <v>1.217972711575954</v>
      </c>
      <c r="CK61" s="9">
        <v>1.7845587275909853</v>
      </c>
      <c r="CL61" s="9">
        <v>2.2990302914200038</v>
      </c>
      <c r="CM61" s="9">
        <v>1.2385705743704671</v>
      </c>
      <c r="CN61" s="9">
        <v>1.0636188354772895</v>
      </c>
      <c r="CO61" s="9">
        <v>0.96260369085900677</v>
      </c>
      <c r="CP61" s="9">
        <v>0.96375029223634301</v>
      </c>
      <c r="CQ61" s="9">
        <v>1.2786692297477598</v>
      </c>
      <c r="CR61" s="9">
        <v>2.0200914105769172</v>
      </c>
      <c r="CS61" s="9">
        <v>2.4726959667322164</v>
      </c>
      <c r="CT61" s="9">
        <v>1.282124613601519</v>
      </c>
      <c r="CU61" s="9">
        <v>1.0491194490008493</v>
      </c>
      <c r="CV61" s="9">
        <v>0.94391003981286836</v>
      </c>
      <c r="CW61" s="9">
        <v>0.88358039506566843</v>
      </c>
      <c r="CX61" s="9">
        <v>1.0558825997074393</v>
      </c>
      <c r="CY61" s="9">
        <v>1.8006455331512594</v>
      </c>
      <c r="CZ61" s="9">
        <v>1.9847373696603969</v>
      </c>
      <c r="DA61" s="9">
        <v>1.1502295746973668</v>
      </c>
      <c r="DB61" s="9">
        <v>0.96885719927162983</v>
      </c>
      <c r="DC61" s="9">
        <v>0.9045526676872977</v>
      </c>
      <c r="DD61" s="9">
        <v>0.85435171734787929</v>
      </c>
      <c r="DE61" s="9">
        <v>1.0932882380686777</v>
      </c>
      <c r="DF61" s="9">
        <v>1.9060750295400688</v>
      </c>
      <c r="DG61" s="9">
        <v>2.1226455733870786</v>
      </c>
      <c r="DH61" s="9">
        <v>1.1016947985991348</v>
      </c>
      <c r="DI61" s="9">
        <v>0.89830520140086512</v>
      </c>
      <c r="DJ61" s="9"/>
      <c r="DK61" s="9">
        <v>10</v>
      </c>
      <c r="DL61" s="9">
        <v>10</v>
      </c>
      <c r="DM61" s="9">
        <v>9</v>
      </c>
      <c r="DN61" s="9">
        <v>9</v>
      </c>
      <c r="DO61" s="9">
        <v>2</v>
      </c>
      <c r="DP61" s="9"/>
      <c r="DQ61" s="9">
        <v>40</v>
      </c>
      <c r="DR61" s="8">
        <f>+SUM(Tabla2[[#This Row],[1 gral]:[1 gral]])</f>
        <v>1.3597806269272565</v>
      </c>
      <c r="DS61" s="8">
        <f>+SUM(Tabla2[[#This Row],[1 temm]:[1 temm]])</f>
        <v>0.68843479227566484</v>
      </c>
      <c r="DT61" s="8">
        <f>+SUM(Tabla2[[#This Row],[1 porta]:[1 porta]])</f>
        <v>0.12059800083105997</v>
      </c>
      <c r="DU61" s="8">
        <f>+Tabla2[[#This Row],[GRAL]]-(Tabla2[[#This Row],[TEMM14]]+Tabla2[[#This Row],[PORTA15]])</f>
        <v>0.55074783382053172</v>
      </c>
    </row>
    <row r="62" spans="1:125" x14ac:dyDescent="0.2">
      <c r="A62" s="84" t="s">
        <v>124</v>
      </c>
      <c r="B62" s="84" t="s">
        <v>482</v>
      </c>
      <c r="C62" s="11" t="s">
        <v>125</v>
      </c>
      <c r="D62" s="11">
        <v>2092359</v>
      </c>
      <c r="E62" s="11" t="s">
        <v>101</v>
      </c>
      <c r="F62" s="11" t="s">
        <v>306</v>
      </c>
      <c r="G62" s="43" t="s">
        <v>281</v>
      </c>
      <c r="H62" s="10">
        <v>0.12059800083105997</v>
      </c>
      <c r="I62" s="10">
        <v>0.16789847649467127</v>
      </c>
      <c r="J62" s="10">
        <v>0.1562207193579257</v>
      </c>
      <c r="K62" s="10">
        <v>0.15006952754027642</v>
      </c>
      <c r="L62" s="10">
        <v>0.16374086192033718</v>
      </c>
      <c r="M62" s="10">
        <v>0.14743099948912008</v>
      </c>
      <c r="N62" s="10">
        <v>9.4041414366609274E-2</v>
      </c>
      <c r="O62" s="10">
        <v>0.13456875821488182</v>
      </c>
      <c r="P62" s="10">
        <v>0.15707930258261715</v>
      </c>
      <c r="Q62" s="10">
        <v>0.1366666184667969</v>
      </c>
      <c r="R62" s="10">
        <v>0.15251213813195408</v>
      </c>
      <c r="S62" s="10">
        <v>0.16144595225895933</v>
      </c>
      <c r="T62" s="10">
        <v>0.17017767644203829</v>
      </c>
      <c r="U62" s="10">
        <v>8.7549553902752458E-2</v>
      </c>
      <c r="V62" s="10">
        <v>0.13996353763244257</v>
      </c>
      <c r="W62" s="10">
        <v>0.16408049301484401</v>
      </c>
      <c r="X62" s="10">
        <v>0.14972686275640418</v>
      </c>
      <c r="Y62" s="10">
        <v>0.1463085242518728</v>
      </c>
      <c r="Z62" s="10">
        <v>0.15374768661164634</v>
      </c>
      <c r="AA62" s="10">
        <v>0.16100337430944414</v>
      </c>
      <c r="AB62" s="10">
        <v>8.5169521423346065E-2</v>
      </c>
      <c r="AC62" s="10">
        <v>0.14462106218700971</v>
      </c>
      <c r="AD62" s="10">
        <v>0.15927880292158872</v>
      </c>
      <c r="AE62" s="10">
        <v>0.15323481470929368</v>
      </c>
      <c r="AF62" s="10">
        <v>0.13729451948603222</v>
      </c>
      <c r="AG62" s="10">
        <v>0.15608969598895889</v>
      </c>
      <c r="AH62" s="10">
        <v>0.163037646001296</v>
      </c>
      <c r="AI62" s="10">
        <v>8.6443458705820736E-2</v>
      </c>
      <c r="AJ62" s="10">
        <v>0.49060673664580357</v>
      </c>
      <c r="AK62" s="10">
        <v>0.50939326335419632</v>
      </c>
      <c r="AL62" s="10">
        <v>0</v>
      </c>
      <c r="AM62" s="6">
        <v>1</v>
      </c>
      <c r="AN62" s="8">
        <v>1</v>
      </c>
      <c r="AO62" s="8">
        <v>1</v>
      </c>
      <c r="AP62" s="8">
        <v>1</v>
      </c>
      <c r="AQ62" s="8">
        <v>1</v>
      </c>
      <c r="AR62" s="8">
        <v>0</v>
      </c>
      <c r="AS62" s="87">
        <v>5</v>
      </c>
      <c r="AT62" s="8">
        <v>0.68843479227566484</v>
      </c>
      <c r="AU62" s="8">
        <v>0.55602238712651619</v>
      </c>
      <c r="AV62" s="8">
        <v>0.52292794480600735</v>
      </c>
      <c r="AW62" s="8">
        <v>0.51242128978576951</v>
      </c>
      <c r="AX62" s="8">
        <v>0.58568436091978715</v>
      </c>
      <c r="AY62" s="8">
        <v>0.90951540450103618</v>
      </c>
      <c r="AZ62" s="8">
        <v>1.2249938205852193</v>
      </c>
      <c r="BA62" s="8">
        <v>0.61333434230865858</v>
      </c>
      <c r="BB62" s="8">
        <v>0.50363307383037359</v>
      </c>
      <c r="BC62" s="8">
        <v>0.4588539291067833</v>
      </c>
      <c r="BD62" s="8">
        <v>0.45068786339132721</v>
      </c>
      <c r="BE62" s="8">
        <v>0.62067959860488919</v>
      </c>
      <c r="BF62" s="8">
        <v>1.027729852297155</v>
      </c>
      <c r="BG62" s="8">
        <v>1.3250813404608133</v>
      </c>
      <c r="BH62" s="8">
        <v>0.71385067248067269</v>
      </c>
      <c r="BI62" s="8">
        <v>0.55314934749125322</v>
      </c>
      <c r="BJ62" s="8">
        <v>0.49636448566029007</v>
      </c>
      <c r="BK62" s="8">
        <v>0.46079491925862226</v>
      </c>
      <c r="BL62" s="8">
        <v>0.56383432068487049</v>
      </c>
      <c r="BM62" s="8">
        <v>1.0247763492761346</v>
      </c>
      <c r="BN62" s="8">
        <v>1.1872299051481567</v>
      </c>
      <c r="BO62" s="8">
        <v>0.62850532031897322</v>
      </c>
      <c r="BP62" s="8">
        <v>0.50598649771877569</v>
      </c>
      <c r="BQ62" s="8">
        <v>0.46957365811125251</v>
      </c>
      <c r="BR62" s="8">
        <v>0.44816074866365441</v>
      </c>
      <c r="BS62" s="8">
        <v>0.58574908879982424</v>
      </c>
      <c r="BT62" s="8">
        <v>1.0893983647117331</v>
      </c>
      <c r="BU62" s="8">
        <v>1.272626321675786</v>
      </c>
      <c r="BV62" s="8">
        <v>0</v>
      </c>
      <c r="BW62" s="8">
        <v>0</v>
      </c>
      <c r="BX62" s="8">
        <v>0</v>
      </c>
      <c r="BY62" s="8">
        <v>5</v>
      </c>
      <c r="BZ62" s="8">
        <v>5</v>
      </c>
      <c r="CA62" s="8">
        <v>5</v>
      </c>
      <c r="CB62" s="8">
        <v>5</v>
      </c>
      <c r="CC62" s="8">
        <v>0</v>
      </c>
      <c r="CD62" s="8">
        <v>0</v>
      </c>
      <c r="CE62" s="8">
        <v>20</v>
      </c>
      <c r="CF62" s="9">
        <v>1.3597806269272565</v>
      </c>
      <c r="CG62" s="9">
        <v>1.1687387733224004</v>
      </c>
      <c r="CH62" s="9">
        <v>1.0974910200087389</v>
      </c>
      <c r="CI62" s="9">
        <v>1.0724278491546615</v>
      </c>
      <c r="CJ62" s="9">
        <v>1.217972711575954</v>
      </c>
      <c r="CK62" s="9">
        <v>1.7845587275909853</v>
      </c>
      <c r="CL62" s="9">
        <v>2.2990302914200038</v>
      </c>
      <c r="CM62" s="9">
        <v>1.2385705743704671</v>
      </c>
      <c r="CN62" s="9">
        <v>1.0636188354772895</v>
      </c>
      <c r="CO62" s="9">
        <v>0.96260369085900677</v>
      </c>
      <c r="CP62" s="9">
        <v>0.96375029223634301</v>
      </c>
      <c r="CQ62" s="9">
        <v>1.2786692297477598</v>
      </c>
      <c r="CR62" s="9">
        <v>2.0200914105769172</v>
      </c>
      <c r="CS62" s="9">
        <v>2.4726959667322164</v>
      </c>
      <c r="CT62" s="9">
        <v>1.282124613601519</v>
      </c>
      <c r="CU62" s="9">
        <v>1.0491194490008493</v>
      </c>
      <c r="CV62" s="9">
        <v>0.94391003981286836</v>
      </c>
      <c r="CW62" s="9">
        <v>0.88358039506566843</v>
      </c>
      <c r="CX62" s="9">
        <v>1.0558825997074393</v>
      </c>
      <c r="CY62" s="9">
        <v>1.8006455331512594</v>
      </c>
      <c r="CZ62" s="9">
        <v>1.9847373696603969</v>
      </c>
      <c r="DA62" s="9">
        <v>1.1502295746973668</v>
      </c>
      <c r="DB62" s="9">
        <v>0.96885719927162983</v>
      </c>
      <c r="DC62" s="9">
        <v>0.9045526676872977</v>
      </c>
      <c r="DD62" s="9">
        <v>0.85435171734787929</v>
      </c>
      <c r="DE62" s="9">
        <v>1.0932882380686777</v>
      </c>
      <c r="DF62" s="9">
        <v>1.9060750295400688</v>
      </c>
      <c r="DG62" s="9">
        <v>2.1226455733870786</v>
      </c>
      <c r="DH62" s="9">
        <v>1.0414541359453708</v>
      </c>
      <c r="DI62" s="9">
        <v>0.95854586405462894</v>
      </c>
      <c r="DJ62" s="9"/>
      <c r="DK62" s="9">
        <v>10</v>
      </c>
      <c r="DL62" s="9">
        <v>10</v>
      </c>
      <c r="DM62" s="9">
        <v>9</v>
      </c>
      <c r="DN62" s="9">
        <v>9</v>
      </c>
      <c r="DO62" s="9">
        <v>2</v>
      </c>
      <c r="DP62" s="9"/>
      <c r="DQ62" s="9">
        <v>40</v>
      </c>
      <c r="DR62" s="8">
        <f>+SUM(Tabla2[[#This Row],[1 gral]:[1 gral]])</f>
        <v>1.3597806269272565</v>
      </c>
      <c r="DS62" s="8">
        <f>+SUM(Tabla2[[#This Row],[1 temm]:[1 temm]])</f>
        <v>0.68843479227566484</v>
      </c>
      <c r="DT62" s="8">
        <f>+SUM(Tabla2[[#This Row],[1 porta]:[1 porta]])</f>
        <v>0.12059800083105997</v>
      </c>
      <c r="DU62" s="8">
        <f>+Tabla2[[#This Row],[GRAL]]-(Tabla2[[#This Row],[TEMM14]]+Tabla2[[#This Row],[PORTA15]])</f>
        <v>0.55074783382053172</v>
      </c>
    </row>
    <row r="63" spans="1:125" x14ac:dyDescent="0.2">
      <c r="A63" s="84" t="s">
        <v>99</v>
      </c>
      <c r="B63" s="84" t="s">
        <v>482</v>
      </c>
      <c r="C63" s="11" t="s">
        <v>126</v>
      </c>
      <c r="D63" s="11">
        <v>2092361</v>
      </c>
      <c r="E63" s="11" t="s">
        <v>39</v>
      </c>
      <c r="F63" s="11" t="s">
        <v>318</v>
      </c>
      <c r="G63" s="43" t="s">
        <v>281</v>
      </c>
      <c r="H63" s="10">
        <v>0.12059800083105997</v>
      </c>
      <c r="I63" s="10">
        <v>0.16789847649467127</v>
      </c>
      <c r="J63" s="10">
        <v>0.1562207193579257</v>
      </c>
      <c r="K63" s="10">
        <v>0.15006952754027642</v>
      </c>
      <c r="L63" s="10">
        <v>0.16374086192033718</v>
      </c>
      <c r="M63" s="10">
        <v>0.14743099948912008</v>
      </c>
      <c r="N63" s="10">
        <v>9.4041414366609274E-2</v>
      </c>
      <c r="O63" s="10">
        <v>0.13456875821488182</v>
      </c>
      <c r="P63" s="10">
        <v>0.15707930258261715</v>
      </c>
      <c r="Q63" s="10">
        <v>0.1366666184667969</v>
      </c>
      <c r="R63" s="10">
        <v>0.15251213813195408</v>
      </c>
      <c r="S63" s="10">
        <v>0.16144595225895933</v>
      </c>
      <c r="T63" s="10">
        <v>0.17017767644203829</v>
      </c>
      <c r="U63" s="10">
        <v>8.7549553902752458E-2</v>
      </c>
      <c r="V63" s="10">
        <v>0.13996353763244257</v>
      </c>
      <c r="W63" s="10">
        <v>0.16408049301484401</v>
      </c>
      <c r="X63" s="10">
        <v>0.14972686275640418</v>
      </c>
      <c r="Y63" s="10">
        <v>0.1463085242518728</v>
      </c>
      <c r="Z63" s="10">
        <v>0.15374768661164634</v>
      </c>
      <c r="AA63" s="10">
        <v>0.16100337430944414</v>
      </c>
      <c r="AB63" s="10">
        <v>8.5169521423346065E-2</v>
      </c>
      <c r="AC63" s="10">
        <v>0.14462106218700971</v>
      </c>
      <c r="AD63" s="10">
        <v>0.15927880292158872</v>
      </c>
      <c r="AE63" s="10">
        <v>0.15323481470929368</v>
      </c>
      <c r="AF63" s="10">
        <v>0.13729451948603222</v>
      </c>
      <c r="AG63" s="10">
        <v>0.15608969598895889</v>
      </c>
      <c r="AH63" s="10">
        <v>0.163037646001296</v>
      </c>
      <c r="AI63" s="10">
        <v>8.6443458705820736E-2</v>
      </c>
      <c r="AJ63" s="10">
        <v>0.49060673664580357</v>
      </c>
      <c r="AK63" s="10">
        <v>0.50939326335419632</v>
      </c>
      <c r="AL63" s="10">
        <v>0</v>
      </c>
      <c r="AM63" s="6">
        <v>1</v>
      </c>
      <c r="AN63" s="8">
        <v>1</v>
      </c>
      <c r="AO63" s="8">
        <v>1</v>
      </c>
      <c r="AP63" s="8">
        <v>1</v>
      </c>
      <c r="AQ63" s="8">
        <v>1</v>
      </c>
      <c r="AR63" s="8">
        <v>0</v>
      </c>
      <c r="AS63" s="87">
        <v>5</v>
      </c>
      <c r="AT63" s="8">
        <v>0.68843479227566484</v>
      </c>
      <c r="AU63" s="8">
        <v>0.55602238712651619</v>
      </c>
      <c r="AV63" s="8">
        <v>0.52292794480600735</v>
      </c>
      <c r="AW63" s="8">
        <v>0.51242128978576951</v>
      </c>
      <c r="AX63" s="8">
        <v>0.58568436091978715</v>
      </c>
      <c r="AY63" s="8">
        <v>0.90951540450103618</v>
      </c>
      <c r="AZ63" s="8">
        <v>1.2249938205852193</v>
      </c>
      <c r="BA63" s="8">
        <v>0.61333434230865858</v>
      </c>
      <c r="BB63" s="8">
        <v>0.50363307383037359</v>
      </c>
      <c r="BC63" s="8">
        <v>0.4588539291067833</v>
      </c>
      <c r="BD63" s="8">
        <v>0.45068786339132721</v>
      </c>
      <c r="BE63" s="8">
        <v>0.62067959860488919</v>
      </c>
      <c r="BF63" s="8">
        <v>1.027729852297155</v>
      </c>
      <c r="BG63" s="8">
        <v>1.3250813404608133</v>
      </c>
      <c r="BH63" s="8">
        <v>0.71385067248067269</v>
      </c>
      <c r="BI63" s="8">
        <v>0.55314934749125322</v>
      </c>
      <c r="BJ63" s="8">
        <v>0.49636448566029007</v>
      </c>
      <c r="BK63" s="8">
        <v>0.46079491925862226</v>
      </c>
      <c r="BL63" s="8">
        <v>0.56383432068487049</v>
      </c>
      <c r="BM63" s="8">
        <v>1.0247763492761346</v>
      </c>
      <c r="BN63" s="8">
        <v>1.1872299051481567</v>
      </c>
      <c r="BO63" s="8">
        <v>0.62850532031897322</v>
      </c>
      <c r="BP63" s="8">
        <v>0.50598649771877569</v>
      </c>
      <c r="BQ63" s="8">
        <v>0.46957365811125251</v>
      </c>
      <c r="BR63" s="8">
        <v>0.44816074866365441</v>
      </c>
      <c r="BS63" s="8">
        <v>0.58574908879982424</v>
      </c>
      <c r="BT63" s="8">
        <v>1.0893983647117331</v>
      </c>
      <c r="BU63" s="8">
        <v>1.272626321675786</v>
      </c>
      <c r="BV63" s="8">
        <v>0</v>
      </c>
      <c r="BW63" s="8">
        <v>0</v>
      </c>
      <c r="BX63" s="8">
        <v>0</v>
      </c>
      <c r="BY63" s="8">
        <v>5</v>
      </c>
      <c r="BZ63" s="8">
        <v>5</v>
      </c>
      <c r="CA63" s="8">
        <v>5</v>
      </c>
      <c r="CB63" s="8">
        <v>5</v>
      </c>
      <c r="CC63" s="8">
        <v>0</v>
      </c>
      <c r="CD63" s="8">
        <v>0</v>
      </c>
      <c r="CE63" s="8">
        <v>20</v>
      </c>
      <c r="CF63" s="9">
        <v>1.3597806269272565</v>
      </c>
      <c r="CG63" s="9">
        <v>1.1687387733224004</v>
      </c>
      <c r="CH63" s="9">
        <v>1.0974910200087389</v>
      </c>
      <c r="CI63" s="9">
        <v>1.0724278491546615</v>
      </c>
      <c r="CJ63" s="9">
        <v>1.217972711575954</v>
      </c>
      <c r="CK63" s="9">
        <v>1.7845587275909853</v>
      </c>
      <c r="CL63" s="9">
        <v>2.2990302914200038</v>
      </c>
      <c r="CM63" s="9">
        <v>1.2385705743704671</v>
      </c>
      <c r="CN63" s="9">
        <v>1.0636188354772895</v>
      </c>
      <c r="CO63" s="9">
        <v>0.96260369085900677</v>
      </c>
      <c r="CP63" s="9">
        <v>0.96375029223634301</v>
      </c>
      <c r="CQ63" s="9">
        <v>1.2786692297477598</v>
      </c>
      <c r="CR63" s="9">
        <v>2.0200914105769172</v>
      </c>
      <c r="CS63" s="9">
        <v>2.4726959667322164</v>
      </c>
      <c r="CT63" s="9">
        <v>1.282124613601519</v>
      </c>
      <c r="CU63" s="9">
        <v>1.0491194490008493</v>
      </c>
      <c r="CV63" s="9">
        <v>0.94391003981286836</v>
      </c>
      <c r="CW63" s="9">
        <v>0.88358039506566843</v>
      </c>
      <c r="CX63" s="9">
        <v>1.0558825997074393</v>
      </c>
      <c r="CY63" s="9">
        <v>1.8006455331512594</v>
      </c>
      <c r="CZ63" s="9">
        <v>1.9847373696603969</v>
      </c>
      <c r="DA63" s="9">
        <v>1.1502295746973668</v>
      </c>
      <c r="DB63" s="9">
        <v>0.96885719927162983</v>
      </c>
      <c r="DC63" s="9">
        <v>0.9045526676872977</v>
      </c>
      <c r="DD63" s="9">
        <v>0.85435171734787929</v>
      </c>
      <c r="DE63" s="9">
        <v>1.0932882380686777</v>
      </c>
      <c r="DF63" s="9">
        <v>1.9060750295400688</v>
      </c>
      <c r="DG63" s="9">
        <v>2.1226455733870786</v>
      </c>
      <c r="DH63" s="9">
        <v>1.0414541359453708</v>
      </c>
      <c r="DI63" s="9">
        <v>0.95854586405462894</v>
      </c>
      <c r="DJ63" s="9"/>
      <c r="DK63" s="9">
        <v>10</v>
      </c>
      <c r="DL63" s="9">
        <v>10</v>
      </c>
      <c r="DM63" s="9">
        <v>9</v>
      </c>
      <c r="DN63" s="9">
        <v>9</v>
      </c>
      <c r="DO63" s="9">
        <v>2</v>
      </c>
      <c r="DP63" s="9"/>
      <c r="DQ63" s="9">
        <v>40</v>
      </c>
      <c r="DR63" s="8">
        <f>+SUM(Tabla2[[#This Row],[1 gral]:[1 gral]])</f>
        <v>1.3597806269272565</v>
      </c>
      <c r="DS63" s="8">
        <f>+SUM(Tabla2[[#This Row],[1 temm]:[1 temm]])</f>
        <v>0.68843479227566484</v>
      </c>
      <c r="DT63" s="8">
        <f>+SUM(Tabla2[[#This Row],[1 porta]:[1 porta]])</f>
        <v>0.12059800083105997</v>
      </c>
      <c r="DU63" s="8">
        <f>+Tabla2[[#This Row],[GRAL]]-(Tabla2[[#This Row],[TEMM14]]+Tabla2[[#This Row],[PORTA15]])</f>
        <v>0.55074783382053172</v>
      </c>
    </row>
    <row r="64" spans="1:125" x14ac:dyDescent="0.2">
      <c r="A64" s="84" t="s">
        <v>99</v>
      </c>
      <c r="B64" s="84" t="s">
        <v>482</v>
      </c>
      <c r="C64" s="11" t="s">
        <v>126</v>
      </c>
      <c r="D64" s="11">
        <v>2092362</v>
      </c>
      <c r="E64" s="11" t="s">
        <v>102</v>
      </c>
      <c r="F64" s="11" t="s">
        <v>319</v>
      </c>
      <c r="G64" s="43" t="s">
        <v>281</v>
      </c>
      <c r="H64" s="10">
        <v>0.12059800083105997</v>
      </c>
      <c r="I64" s="10">
        <v>0.16789847649467127</v>
      </c>
      <c r="J64" s="10">
        <v>0.1562207193579257</v>
      </c>
      <c r="K64" s="10">
        <v>0.15006952754027642</v>
      </c>
      <c r="L64" s="10">
        <v>0.16374086192033718</v>
      </c>
      <c r="M64" s="10">
        <v>0.14743099948912008</v>
      </c>
      <c r="N64" s="10">
        <v>9.4041414366609274E-2</v>
      </c>
      <c r="O64" s="10">
        <v>0.13456875821488182</v>
      </c>
      <c r="P64" s="10">
        <v>0.15707930258261715</v>
      </c>
      <c r="Q64" s="10">
        <v>0.1366666184667969</v>
      </c>
      <c r="R64" s="10">
        <v>0.15251213813195408</v>
      </c>
      <c r="S64" s="10">
        <v>0.16144595225895933</v>
      </c>
      <c r="T64" s="10">
        <v>0.17017767644203829</v>
      </c>
      <c r="U64" s="10">
        <v>8.7549553902752458E-2</v>
      </c>
      <c r="V64" s="10">
        <v>0.13996353763244257</v>
      </c>
      <c r="W64" s="10">
        <v>0.16408049301484401</v>
      </c>
      <c r="X64" s="10">
        <v>0.14972686275640418</v>
      </c>
      <c r="Y64" s="10">
        <v>0.1463085242518728</v>
      </c>
      <c r="Z64" s="10">
        <v>0.15374768661164634</v>
      </c>
      <c r="AA64" s="10">
        <v>0.16100337430944414</v>
      </c>
      <c r="AB64" s="10">
        <v>8.5169521423346065E-2</v>
      </c>
      <c r="AC64" s="10">
        <v>0.14462106218700971</v>
      </c>
      <c r="AD64" s="10">
        <v>0.15927880292158872</v>
      </c>
      <c r="AE64" s="10">
        <v>0.15323481470929368</v>
      </c>
      <c r="AF64" s="10">
        <v>0.13729451948603222</v>
      </c>
      <c r="AG64" s="10">
        <v>0.15608969598895889</v>
      </c>
      <c r="AH64" s="10">
        <v>0.163037646001296</v>
      </c>
      <c r="AI64" s="10">
        <v>8.6443458705820736E-2</v>
      </c>
      <c r="AJ64" s="10">
        <v>0.49060673664580357</v>
      </c>
      <c r="AK64" s="10">
        <v>0.50939326335419632</v>
      </c>
      <c r="AL64" s="10">
        <v>0</v>
      </c>
      <c r="AM64" s="6">
        <v>1</v>
      </c>
      <c r="AN64" s="8">
        <v>1</v>
      </c>
      <c r="AO64" s="8">
        <v>1</v>
      </c>
      <c r="AP64" s="8">
        <v>1</v>
      </c>
      <c r="AQ64" s="8">
        <v>1</v>
      </c>
      <c r="AR64" s="8">
        <v>0</v>
      </c>
      <c r="AS64" s="87">
        <v>5</v>
      </c>
      <c r="AT64" s="8">
        <v>0.41306087536539887</v>
      </c>
      <c r="AU64" s="8">
        <v>0.33361343227590967</v>
      </c>
      <c r="AV64" s="8">
        <v>0.31375676688360443</v>
      </c>
      <c r="AW64" s="8">
        <v>0.30745277387146175</v>
      </c>
      <c r="AX64" s="8">
        <v>0.35141061655187228</v>
      </c>
      <c r="AY64" s="8">
        <v>0.54570924270062171</v>
      </c>
      <c r="AZ64" s="8">
        <v>0.73499629235113151</v>
      </c>
      <c r="BA64" s="8">
        <v>0.36800060538519513</v>
      </c>
      <c r="BB64" s="8">
        <v>0.30217984429822414</v>
      </c>
      <c r="BC64" s="8">
        <v>0.27531235746406996</v>
      </c>
      <c r="BD64" s="8">
        <v>0.27041271803479633</v>
      </c>
      <c r="BE64" s="8">
        <v>0.37240775916293356</v>
      </c>
      <c r="BF64" s="8">
        <v>0.61663791137829294</v>
      </c>
      <c r="BG64" s="8">
        <v>0.79504880427648805</v>
      </c>
      <c r="BH64" s="8">
        <v>0.42831040348840366</v>
      </c>
      <c r="BI64" s="8">
        <v>0.33188960849475196</v>
      </c>
      <c r="BJ64" s="8">
        <v>0.29781869139617406</v>
      </c>
      <c r="BK64" s="8">
        <v>0.27647695155517338</v>
      </c>
      <c r="BL64" s="8">
        <v>0.33830059241092231</v>
      </c>
      <c r="BM64" s="8">
        <v>0.61486580956568071</v>
      </c>
      <c r="BN64" s="8">
        <v>0.71233794308889409</v>
      </c>
      <c r="BO64" s="8">
        <v>0.37710319219138388</v>
      </c>
      <c r="BP64" s="8">
        <v>0.30359189863126546</v>
      </c>
      <c r="BQ64" s="8">
        <v>0.28174419486675151</v>
      </c>
      <c r="BR64" s="8">
        <v>0.26889644919819267</v>
      </c>
      <c r="BS64" s="8">
        <v>0.35144945327989457</v>
      </c>
      <c r="BT64" s="8">
        <v>0.65363901882703979</v>
      </c>
      <c r="BU64" s="8">
        <v>0.76357579300547163</v>
      </c>
      <c r="BV64" s="8">
        <v>1.1016947985991348</v>
      </c>
      <c r="BW64" s="8">
        <v>0.89830520140086512</v>
      </c>
      <c r="BX64" s="8">
        <v>0</v>
      </c>
      <c r="BY64" s="8">
        <v>3</v>
      </c>
      <c r="BZ64" s="8">
        <v>3</v>
      </c>
      <c r="CA64" s="8">
        <v>3</v>
      </c>
      <c r="CB64" s="8">
        <v>3</v>
      </c>
      <c r="CC64" s="8">
        <v>2</v>
      </c>
      <c r="CD64" s="8">
        <v>0</v>
      </c>
      <c r="CE64" s="8">
        <v>14</v>
      </c>
      <c r="CF64" s="9">
        <v>0.94671975156185773</v>
      </c>
      <c r="CG64" s="9">
        <v>0.83512534104649061</v>
      </c>
      <c r="CH64" s="9">
        <v>0.78373425312513456</v>
      </c>
      <c r="CI64" s="9">
        <v>0.76497507528319986</v>
      </c>
      <c r="CJ64" s="9">
        <v>0.86656209502408177</v>
      </c>
      <c r="CK64" s="9">
        <v>1.2388494848903635</v>
      </c>
      <c r="CL64" s="9">
        <v>1.5640339990688723</v>
      </c>
      <c r="CM64" s="9">
        <v>0.87056996898527217</v>
      </c>
      <c r="CN64" s="9">
        <v>0.76143899117906544</v>
      </c>
      <c r="CO64" s="9">
        <v>0.68729133339493687</v>
      </c>
      <c r="CP64" s="9">
        <v>0.69333757420154674</v>
      </c>
      <c r="CQ64" s="9">
        <v>0.90626147058482642</v>
      </c>
      <c r="CR64" s="9">
        <v>1.4034534991986241</v>
      </c>
      <c r="CS64" s="9">
        <v>1.6776471624557285</v>
      </c>
      <c r="CT64" s="9">
        <v>0.99658434460924983</v>
      </c>
      <c r="CU64" s="9">
        <v>0.82785971000434788</v>
      </c>
      <c r="CV64" s="9">
        <v>0.74536424554875236</v>
      </c>
      <c r="CW64" s="9">
        <v>0.69926242736221955</v>
      </c>
      <c r="CX64" s="9">
        <v>0.83034887143349101</v>
      </c>
      <c r="CY64" s="9">
        <v>1.3907349934408055</v>
      </c>
      <c r="CZ64" s="9">
        <v>1.5098454076011343</v>
      </c>
      <c r="DA64" s="9">
        <v>0.77312638250598287</v>
      </c>
      <c r="DB64" s="9">
        <v>0.66526530064036438</v>
      </c>
      <c r="DC64" s="9">
        <v>0.62280847282054619</v>
      </c>
      <c r="DD64" s="9">
        <v>0.58545526814968663</v>
      </c>
      <c r="DE64" s="9">
        <v>0.74183878478878318</v>
      </c>
      <c r="DF64" s="9">
        <v>1.252436010713029</v>
      </c>
      <c r="DG64" s="9">
        <v>1.3590697803816068</v>
      </c>
      <c r="DH64" s="9">
        <v>1.5923015352449383</v>
      </c>
      <c r="DI64" s="9">
        <v>1.4076984647550614</v>
      </c>
      <c r="DJ64" s="9"/>
      <c r="DK64" s="9">
        <v>7</v>
      </c>
      <c r="DL64" s="9">
        <v>7</v>
      </c>
      <c r="DM64" s="9">
        <v>7</v>
      </c>
      <c r="DN64" s="9">
        <v>6</v>
      </c>
      <c r="DO64" s="9">
        <v>3</v>
      </c>
      <c r="DP64" s="9"/>
      <c r="DQ64" s="9">
        <v>30</v>
      </c>
      <c r="DR64" s="8">
        <f>+SUM(Tabla2[[#This Row],[1 gral]:[1 gral]])</f>
        <v>0.94671975156185773</v>
      </c>
      <c r="DS64" s="8">
        <f>+SUM(Tabla2[[#This Row],[1 temm]:[1 temm]])</f>
        <v>0.41306087536539887</v>
      </c>
      <c r="DT64" s="8">
        <f>+SUM(Tabla2[[#This Row],[1 porta]:[1 porta]])</f>
        <v>0.12059800083105997</v>
      </c>
      <c r="DU64" s="8">
        <f>+Tabla2[[#This Row],[GRAL]]-(Tabla2[[#This Row],[TEMM14]]+Tabla2[[#This Row],[PORTA15]])</f>
        <v>0.41306087536539893</v>
      </c>
    </row>
    <row r="65" spans="1:125" x14ac:dyDescent="0.2">
      <c r="A65" s="84" t="s">
        <v>124</v>
      </c>
      <c r="B65" s="84" t="s">
        <v>482</v>
      </c>
      <c r="C65" s="11" t="s">
        <v>126</v>
      </c>
      <c r="D65" s="11">
        <v>2092363</v>
      </c>
      <c r="E65" s="11" t="s">
        <v>41</v>
      </c>
      <c r="F65" s="11" t="s">
        <v>319</v>
      </c>
      <c r="G65" s="43" t="s">
        <v>281</v>
      </c>
      <c r="H65" s="10">
        <v>0.12059800083105997</v>
      </c>
      <c r="I65" s="10">
        <v>0.16789847649467127</v>
      </c>
      <c r="J65" s="10">
        <v>0.1562207193579257</v>
      </c>
      <c r="K65" s="10">
        <v>0.15006952754027642</v>
      </c>
      <c r="L65" s="10">
        <v>0.16374086192033718</v>
      </c>
      <c r="M65" s="10">
        <v>0.14743099948912008</v>
      </c>
      <c r="N65" s="10">
        <v>9.4041414366609274E-2</v>
      </c>
      <c r="O65" s="10">
        <v>0.13456875821488182</v>
      </c>
      <c r="P65" s="10">
        <v>0.15707930258261715</v>
      </c>
      <c r="Q65" s="10">
        <v>0.1366666184667969</v>
      </c>
      <c r="R65" s="10">
        <v>0.15251213813195408</v>
      </c>
      <c r="S65" s="10">
        <v>0.16144595225895933</v>
      </c>
      <c r="T65" s="10">
        <v>0.17017767644203829</v>
      </c>
      <c r="U65" s="10">
        <v>8.7549553902752458E-2</v>
      </c>
      <c r="V65" s="10">
        <v>0.13996353763244257</v>
      </c>
      <c r="W65" s="10">
        <v>0.16408049301484401</v>
      </c>
      <c r="X65" s="10">
        <v>0.14972686275640418</v>
      </c>
      <c r="Y65" s="10">
        <v>0.1463085242518728</v>
      </c>
      <c r="Z65" s="10">
        <v>0.15374768661164634</v>
      </c>
      <c r="AA65" s="10">
        <v>0.16100337430944414</v>
      </c>
      <c r="AB65" s="10">
        <v>8.5169521423346065E-2</v>
      </c>
      <c r="AC65" s="10">
        <v>0.14462106218700971</v>
      </c>
      <c r="AD65" s="10">
        <v>0.15927880292158872</v>
      </c>
      <c r="AE65" s="10">
        <v>0.15323481470929368</v>
      </c>
      <c r="AF65" s="10">
        <v>0.13729451948603222</v>
      </c>
      <c r="AG65" s="10">
        <v>0.15608969598895889</v>
      </c>
      <c r="AH65" s="10">
        <v>0.163037646001296</v>
      </c>
      <c r="AI65" s="10">
        <v>8.6443458705820736E-2</v>
      </c>
      <c r="AJ65" s="10">
        <v>0.49060673664580357</v>
      </c>
      <c r="AK65" s="10">
        <v>0.50939326335419632</v>
      </c>
      <c r="AL65" s="10">
        <v>0</v>
      </c>
      <c r="AM65" s="6">
        <v>1</v>
      </c>
      <c r="AN65" s="8">
        <v>1</v>
      </c>
      <c r="AO65" s="8">
        <v>1</v>
      </c>
      <c r="AP65" s="8">
        <v>1</v>
      </c>
      <c r="AQ65" s="8">
        <v>1</v>
      </c>
      <c r="AR65" s="8">
        <v>0</v>
      </c>
      <c r="AS65" s="87">
        <v>5</v>
      </c>
      <c r="AT65" s="8">
        <v>0.68843479227566484</v>
      </c>
      <c r="AU65" s="8">
        <v>0.55602238712651619</v>
      </c>
      <c r="AV65" s="8">
        <v>0.52292794480600735</v>
      </c>
      <c r="AW65" s="8">
        <v>0.51242128978576951</v>
      </c>
      <c r="AX65" s="8">
        <v>0.58568436091978715</v>
      </c>
      <c r="AY65" s="8">
        <v>0.90951540450103618</v>
      </c>
      <c r="AZ65" s="8">
        <v>1.2249938205852193</v>
      </c>
      <c r="BA65" s="8">
        <v>0.61333434230865858</v>
      </c>
      <c r="BB65" s="8">
        <v>0.50363307383037359</v>
      </c>
      <c r="BC65" s="8">
        <v>0.4588539291067833</v>
      </c>
      <c r="BD65" s="8">
        <v>0.45068786339132721</v>
      </c>
      <c r="BE65" s="8">
        <v>0.62067959860488919</v>
      </c>
      <c r="BF65" s="8">
        <v>1.027729852297155</v>
      </c>
      <c r="BG65" s="8">
        <v>1.3250813404608133</v>
      </c>
      <c r="BH65" s="8">
        <v>0.71385067248067269</v>
      </c>
      <c r="BI65" s="8">
        <v>0.55314934749125322</v>
      </c>
      <c r="BJ65" s="8">
        <v>0.49636448566029007</v>
      </c>
      <c r="BK65" s="8">
        <v>0.46079491925862226</v>
      </c>
      <c r="BL65" s="8">
        <v>0.56383432068487049</v>
      </c>
      <c r="BM65" s="8">
        <v>1.0247763492761346</v>
      </c>
      <c r="BN65" s="8">
        <v>1.1872299051481567</v>
      </c>
      <c r="BO65" s="8">
        <v>0.62850532031897322</v>
      </c>
      <c r="BP65" s="8">
        <v>0.50598649771877569</v>
      </c>
      <c r="BQ65" s="8">
        <v>0.46957365811125251</v>
      </c>
      <c r="BR65" s="8">
        <v>0.44816074866365441</v>
      </c>
      <c r="BS65" s="8">
        <v>0.58574908879982424</v>
      </c>
      <c r="BT65" s="8">
        <v>1.0893983647117331</v>
      </c>
      <c r="BU65" s="8">
        <v>1.272626321675786</v>
      </c>
      <c r="BV65" s="8">
        <v>0</v>
      </c>
      <c r="BW65" s="8">
        <v>0</v>
      </c>
      <c r="BX65" s="8">
        <v>0</v>
      </c>
      <c r="BY65" s="8">
        <v>5</v>
      </c>
      <c r="BZ65" s="8">
        <v>5</v>
      </c>
      <c r="CA65" s="8">
        <v>5</v>
      </c>
      <c r="CB65" s="8">
        <v>5</v>
      </c>
      <c r="CC65" s="8">
        <v>0</v>
      </c>
      <c r="CD65" s="8">
        <v>0</v>
      </c>
      <c r="CE65" s="8">
        <v>20</v>
      </c>
      <c r="CF65" s="9">
        <v>1.3597806269272565</v>
      </c>
      <c r="CG65" s="9">
        <v>1.1687387733224004</v>
      </c>
      <c r="CH65" s="9">
        <v>1.0974910200087389</v>
      </c>
      <c r="CI65" s="9">
        <v>1.0724278491546615</v>
      </c>
      <c r="CJ65" s="9">
        <v>1.217972711575954</v>
      </c>
      <c r="CK65" s="9">
        <v>1.7845587275909853</v>
      </c>
      <c r="CL65" s="9">
        <v>2.2990302914200038</v>
      </c>
      <c r="CM65" s="9">
        <v>1.2385705743704671</v>
      </c>
      <c r="CN65" s="9">
        <v>1.0636188354772895</v>
      </c>
      <c r="CO65" s="9">
        <v>0.96260369085900677</v>
      </c>
      <c r="CP65" s="9">
        <v>0.96375029223634301</v>
      </c>
      <c r="CQ65" s="9">
        <v>1.2786692297477598</v>
      </c>
      <c r="CR65" s="9">
        <v>2.0200914105769172</v>
      </c>
      <c r="CS65" s="9">
        <v>2.4726959667322164</v>
      </c>
      <c r="CT65" s="9">
        <v>1.282124613601519</v>
      </c>
      <c r="CU65" s="9">
        <v>1.0491194490008493</v>
      </c>
      <c r="CV65" s="9">
        <v>0.94391003981286836</v>
      </c>
      <c r="CW65" s="9">
        <v>0.88358039506566843</v>
      </c>
      <c r="CX65" s="9">
        <v>1.0558825997074393</v>
      </c>
      <c r="CY65" s="9">
        <v>1.8006455331512594</v>
      </c>
      <c r="CZ65" s="9">
        <v>1.9847373696603969</v>
      </c>
      <c r="DA65" s="9">
        <v>1.1502295746973668</v>
      </c>
      <c r="DB65" s="9">
        <v>0.96885719927162983</v>
      </c>
      <c r="DC65" s="9">
        <v>0.9045526676872977</v>
      </c>
      <c r="DD65" s="9">
        <v>0.85435171734787929</v>
      </c>
      <c r="DE65" s="9">
        <v>1.0932882380686777</v>
      </c>
      <c r="DF65" s="9">
        <v>1.9060750295400688</v>
      </c>
      <c r="DG65" s="9">
        <v>2.1226455733870786</v>
      </c>
      <c r="DH65" s="9">
        <v>1.0414541359453708</v>
      </c>
      <c r="DI65" s="9">
        <v>0.95854586405462894</v>
      </c>
      <c r="DJ65" s="9"/>
      <c r="DK65" s="9">
        <v>10</v>
      </c>
      <c r="DL65" s="9">
        <v>10</v>
      </c>
      <c r="DM65" s="9">
        <v>9</v>
      </c>
      <c r="DN65" s="9">
        <v>9</v>
      </c>
      <c r="DO65" s="9">
        <v>2</v>
      </c>
      <c r="DP65" s="9"/>
      <c r="DQ65" s="9">
        <v>40</v>
      </c>
      <c r="DR65" s="8">
        <f>+SUM(Tabla2[[#This Row],[1 gral]:[1 gral]])</f>
        <v>1.3597806269272565</v>
      </c>
      <c r="DS65" s="8">
        <f>+SUM(Tabla2[[#This Row],[1 temm]:[1 temm]])</f>
        <v>0.68843479227566484</v>
      </c>
      <c r="DT65" s="8">
        <f>+SUM(Tabla2[[#This Row],[1 porta]:[1 porta]])</f>
        <v>0.12059800083105997</v>
      </c>
      <c r="DU65" s="8">
        <f>+Tabla2[[#This Row],[GRAL]]-(Tabla2[[#This Row],[TEMM14]]+Tabla2[[#This Row],[PORTA15]])</f>
        <v>0.55074783382053172</v>
      </c>
    </row>
    <row r="66" spans="1:125" x14ac:dyDescent="0.2">
      <c r="A66" s="84" t="s">
        <v>99</v>
      </c>
      <c r="B66" s="84" t="s">
        <v>482</v>
      </c>
      <c r="C66" s="11" t="s">
        <v>127</v>
      </c>
      <c r="D66" s="11">
        <v>2092366</v>
      </c>
      <c r="E66" s="11" t="s">
        <v>42</v>
      </c>
      <c r="F66" s="11" t="s">
        <v>309</v>
      </c>
      <c r="G66" s="43" t="s">
        <v>281</v>
      </c>
      <c r="H66" s="10">
        <v>0.12059800083105997</v>
      </c>
      <c r="I66" s="10">
        <v>0.16789847649467127</v>
      </c>
      <c r="J66" s="10">
        <v>0.1562207193579257</v>
      </c>
      <c r="K66" s="10">
        <v>0.15006952754027642</v>
      </c>
      <c r="L66" s="10">
        <v>0.16374086192033718</v>
      </c>
      <c r="M66" s="10">
        <v>0.14743099948912008</v>
      </c>
      <c r="N66" s="10">
        <v>9.4041414366609274E-2</v>
      </c>
      <c r="O66" s="10">
        <v>0.13456875821488182</v>
      </c>
      <c r="P66" s="10">
        <v>0.15707930258261715</v>
      </c>
      <c r="Q66" s="10">
        <v>0.1366666184667969</v>
      </c>
      <c r="R66" s="10">
        <v>0.15251213813195408</v>
      </c>
      <c r="S66" s="10">
        <v>0.16144595225895933</v>
      </c>
      <c r="T66" s="10">
        <v>0.17017767644203829</v>
      </c>
      <c r="U66" s="10">
        <v>8.7549553902752458E-2</v>
      </c>
      <c r="V66" s="10">
        <v>0.13996353763244257</v>
      </c>
      <c r="W66" s="10">
        <v>0.16408049301484401</v>
      </c>
      <c r="X66" s="10">
        <v>0.14972686275640418</v>
      </c>
      <c r="Y66" s="10">
        <v>0.1463085242518728</v>
      </c>
      <c r="Z66" s="10">
        <v>0.15374768661164634</v>
      </c>
      <c r="AA66" s="10">
        <v>0.16100337430944414</v>
      </c>
      <c r="AB66" s="10">
        <v>8.5169521423346065E-2</v>
      </c>
      <c r="AC66" s="10">
        <v>0.14462106218700971</v>
      </c>
      <c r="AD66" s="10">
        <v>0.15927880292158872</v>
      </c>
      <c r="AE66" s="10">
        <v>0.15323481470929368</v>
      </c>
      <c r="AF66" s="10">
        <v>0.13729451948603222</v>
      </c>
      <c r="AG66" s="10">
        <v>0.15608969598895889</v>
      </c>
      <c r="AH66" s="10">
        <v>0.163037646001296</v>
      </c>
      <c r="AI66" s="10">
        <v>8.6443458705820736E-2</v>
      </c>
      <c r="AJ66" s="10">
        <v>0.49060673664580357</v>
      </c>
      <c r="AK66" s="10">
        <v>0.50939326335419632</v>
      </c>
      <c r="AL66" s="10">
        <v>0</v>
      </c>
      <c r="AM66" s="6">
        <v>1</v>
      </c>
      <c r="AN66" s="8">
        <v>1</v>
      </c>
      <c r="AO66" s="8">
        <v>1</v>
      </c>
      <c r="AP66" s="8">
        <v>1</v>
      </c>
      <c r="AQ66" s="8">
        <v>1</v>
      </c>
      <c r="AR66" s="8">
        <v>0</v>
      </c>
      <c r="AS66" s="87">
        <v>5</v>
      </c>
      <c r="AT66" s="8">
        <v>0.41306087536539887</v>
      </c>
      <c r="AU66" s="8">
        <v>0.33361343227590967</v>
      </c>
      <c r="AV66" s="8">
        <v>0.31375676688360443</v>
      </c>
      <c r="AW66" s="8">
        <v>0.30745277387146175</v>
      </c>
      <c r="AX66" s="8">
        <v>0.35141061655187228</v>
      </c>
      <c r="AY66" s="8">
        <v>0.54570924270062171</v>
      </c>
      <c r="AZ66" s="8">
        <v>0.73499629235113151</v>
      </c>
      <c r="BA66" s="8">
        <v>0.36800060538519513</v>
      </c>
      <c r="BB66" s="8">
        <v>0.30217984429822414</v>
      </c>
      <c r="BC66" s="8">
        <v>0.27531235746406996</v>
      </c>
      <c r="BD66" s="8">
        <v>0.27041271803479633</v>
      </c>
      <c r="BE66" s="8">
        <v>0.37240775916293356</v>
      </c>
      <c r="BF66" s="8">
        <v>0.61663791137829294</v>
      </c>
      <c r="BG66" s="8">
        <v>0.79504880427648805</v>
      </c>
      <c r="BH66" s="8">
        <v>0.42831040348840366</v>
      </c>
      <c r="BI66" s="8">
        <v>0.33188960849475196</v>
      </c>
      <c r="BJ66" s="8">
        <v>0.29781869139617406</v>
      </c>
      <c r="BK66" s="8">
        <v>0.27647695155517338</v>
      </c>
      <c r="BL66" s="8">
        <v>0.33830059241092231</v>
      </c>
      <c r="BM66" s="8">
        <v>0.61486580956568071</v>
      </c>
      <c r="BN66" s="8">
        <v>0.71233794308889409</v>
      </c>
      <c r="BO66" s="8">
        <v>0.37710319219138388</v>
      </c>
      <c r="BP66" s="8">
        <v>0.30359189863126546</v>
      </c>
      <c r="BQ66" s="8">
        <v>0.28174419486675151</v>
      </c>
      <c r="BR66" s="8">
        <v>0.26889644919819267</v>
      </c>
      <c r="BS66" s="8">
        <v>0.35144945327989457</v>
      </c>
      <c r="BT66" s="8">
        <v>0.65363901882703979</v>
      </c>
      <c r="BU66" s="8">
        <v>0.76357579300547163</v>
      </c>
      <c r="BV66" s="8">
        <v>1.1016947985991348</v>
      </c>
      <c r="BW66" s="8">
        <v>0.89830520140086512</v>
      </c>
      <c r="BX66" s="8">
        <v>0</v>
      </c>
      <c r="BY66" s="8">
        <v>3</v>
      </c>
      <c r="BZ66" s="8">
        <v>3</v>
      </c>
      <c r="CA66" s="8">
        <v>3</v>
      </c>
      <c r="CB66" s="8">
        <v>3</v>
      </c>
      <c r="CC66" s="8">
        <v>2</v>
      </c>
      <c r="CD66" s="8">
        <v>0</v>
      </c>
      <c r="CE66" s="8">
        <v>14</v>
      </c>
      <c r="CF66" s="9">
        <v>0.94671975156185773</v>
      </c>
      <c r="CG66" s="9">
        <v>0.83512534104649061</v>
      </c>
      <c r="CH66" s="9">
        <v>0.78373425312513456</v>
      </c>
      <c r="CI66" s="9">
        <v>0.76497507528319986</v>
      </c>
      <c r="CJ66" s="9">
        <v>0.86656209502408177</v>
      </c>
      <c r="CK66" s="9">
        <v>1.2388494848903635</v>
      </c>
      <c r="CL66" s="9">
        <v>1.5640339990688723</v>
      </c>
      <c r="CM66" s="9">
        <v>0.87056996898527217</v>
      </c>
      <c r="CN66" s="9">
        <v>0.76143899117906544</v>
      </c>
      <c r="CO66" s="9">
        <v>0.68729133339493687</v>
      </c>
      <c r="CP66" s="9">
        <v>0.69333757420154674</v>
      </c>
      <c r="CQ66" s="9">
        <v>0.90626147058482642</v>
      </c>
      <c r="CR66" s="9">
        <v>1.4034534991986241</v>
      </c>
      <c r="CS66" s="9">
        <v>1.6776471624557285</v>
      </c>
      <c r="CT66" s="9">
        <v>0.99658434460924983</v>
      </c>
      <c r="CU66" s="9">
        <v>0.82785971000434788</v>
      </c>
      <c r="CV66" s="9">
        <v>0.74536424554875236</v>
      </c>
      <c r="CW66" s="9">
        <v>0.69926242736221955</v>
      </c>
      <c r="CX66" s="9">
        <v>0.83034887143349101</v>
      </c>
      <c r="CY66" s="9">
        <v>1.3907349934408055</v>
      </c>
      <c r="CZ66" s="9">
        <v>1.5098454076011343</v>
      </c>
      <c r="DA66" s="9">
        <v>0.77312638250598287</v>
      </c>
      <c r="DB66" s="9">
        <v>0.66526530064036438</v>
      </c>
      <c r="DC66" s="9">
        <v>0.62280847282054619</v>
      </c>
      <c r="DD66" s="9">
        <v>0.58545526814968663</v>
      </c>
      <c r="DE66" s="9">
        <v>0.74183878478878318</v>
      </c>
      <c r="DF66" s="9">
        <v>1.252436010713029</v>
      </c>
      <c r="DG66" s="9">
        <v>1.3590697803816068</v>
      </c>
      <c r="DH66" s="9">
        <v>1.5923015352449383</v>
      </c>
      <c r="DI66" s="9">
        <v>1.4076984647550614</v>
      </c>
      <c r="DJ66" s="9"/>
      <c r="DK66" s="9">
        <v>7</v>
      </c>
      <c r="DL66" s="9">
        <v>7</v>
      </c>
      <c r="DM66" s="9">
        <v>7</v>
      </c>
      <c r="DN66" s="9">
        <v>6</v>
      </c>
      <c r="DO66" s="9">
        <v>3</v>
      </c>
      <c r="DP66" s="9"/>
      <c r="DQ66" s="9">
        <v>30</v>
      </c>
      <c r="DR66" s="8">
        <f>+SUM(Tabla2[[#This Row],[1 gral]:[1 gral]])</f>
        <v>0.94671975156185773</v>
      </c>
      <c r="DS66" s="8">
        <f>+SUM(Tabla2[[#This Row],[1 temm]:[1 temm]])</f>
        <v>0.41306087536539887</v>
      </c>
      <c r="DT66" s="8">
        <f>+SUM(Tabla2[[#This Row],[1 porta]:[1 porta]])</f>
        <v>0.12059800083105997</v>
      </c>
      <c r="DU66" s="8">
        <f>+Tabla2[[#This Row],[GRAL]]-(Tabla2[[#This Row],[TEMM14]]+Tabla2[[#This Row],[PORTA15]])</f>
        <v>0.41306087536539893</v>
      </c>
    </row>
    <row r="67" spans="1:125" x14ac:dyDescent="0.2">
      <c r="A67" s="84" t="s">
        <v>99</v>
      </c>
      <c r="B67" s="84" t="s">
        <v>482</v>
      </c>
      <c r="C67" s="11" t="s">
        <v>127</v>
      </c>
      <c r="D67" s="11">
        <v>2092367</v>
      </c>
      <c r="E67" s="11" t="s">
        <v>317</v>
      </c>
      <c r="F67" s="11" t="s">
        <v>320</v>
      </c>
      <c r="G67" s="43" t="s">
        <v>281</v>
      </c>
      <c r="H67" s="10">
        <v>0.12059800083105997</v>
      </c>
      <c r="I67" s="10">
        <v>0.16789847649467127</v>
      </c>
      <c r="J67" s="10">
        <v>0.1562207193579257</v>
      </c>
      <c r="K67" s="10">
        <v>0.15006952754027642</v>
      </c>
      <c r="L67" s="10">
        <v>0.16374086192033718</v>
      </c>
      <c r="M67" s="10">
        <v>0.14743099948912008</v>
      </c>
      <c r="N67" s="10">
        <v>9.4041414366609274E-2</v>
      </c>
      <c r="O67" s="10">
        <v>0.13456875821488182</v>
      </c>
      <c r="P67" s="10">
        <v>0.15707930258261715</v>
      </c>
      <c r="Q67" s="10">
        <v>0.1366666184667969</v>
      </c>
      <c r="R67" s="10">
        <v>0.15251213813195408</v>
      </c>
      <c r="S67" s="10">
        <v>0.16144595225895933</v>
      </c>
      <c r="T67" s="10">
        <v>0.17017767644203829</v>
      </c>
      <c r="U67" s="10">
        <v>8.7549553902752458E-2</v>
      </c>
      <c r="V67" s="10">
        <v>0.13996353763244257</v>
      </c>
      <c r="W67" s="10">
        <v>0.16408049301484401</v>
      </c>
      <c r="X67" s="10">
        <v>0.14972686275640418</v>
      </c>
      <c r="Y67" s="10">
        <v>0.1463085242518728</v>
      </c>
      <c r="Z67" s="10">
        <v>0.15374768661164634</v>
      </c>
      <c r="AA67" s="10">
        <v>0.16100337430944414</v>
      </c>
      <c r="AB67" s="10">
        <v>8.5169521423346065E-2</v>
      </c>
      <c r="AC67" s="10">
        <v>0.14462106218700971</v>
      </c>
      <c r="AD67" s="10">
        <v>0.15927880292158872</v>
      </c>
      <c r="AE67" s="10">
        <v>0.15323481470929368</v>
      </c>
      <c r="AF67" s="10">
        <v>0.13729451948603222</v>
      </c>
      <c r="AG67" s="10">
        <v>0.15608969598895889</v>
      </c>
      <c r="AH67" s="10">
        <v>0.163037646001296</v>
      </c>
      <c r="AI67" s="10">
        <v>8.6443458705820736E-2</v>
      </c>
      <c r="AJ67" s="10">
        <v>0.49060673664580357</v>
      </c>
      <c r="AK67" s="10">
        <v>0.50939326335419632</v>
      </c>
      <c r="AL67" s="10">
        <v>0</v>
      </c>
      <c r="AM67" s="6">
        <v>1</v>
      </c>
      <c r="AN67" s="8">
        <v>1</v>
      </c>
      <c r="AO67" s="8">
        <v>1</v>
      </c>
      <c r="AP67" s="8">
        <v>1</v>
      </c>
      <c r="AQ67" s="8">
        <v>1</v>
      </c>
      <c r="AR67" s="8">
        <v>0</v>
      </c>
      <c r="AS67" s="87">
        <v>5</v>
      </c>
      <c r="AT67" s="8">
        <v>0.41306087536539887</v>
      </c>
      <c r="AU67" s="8">
        <v>0.33361343227590967</v>
      </c>
      <c r="AV67" s="8">
        <v>0.31375676688360443</v>
      </c>
      <c r="AW67" s="8">
        <v>0.30745277387146175</v>
      </c>
      <c r="AX67" s="8">
        <v>0.35141061655187228</v>
      </c>
      <c r="AY67" s="8">
        <v>0.54570924270062171</v>
      </c>
      <c r="AZ67" s="8">
        <v>0.73499629235113151</v>
      </c>
      <c r="BA67" s="8">
        <v>0.36800060538519513</v>
      </c>
      <c r="BB67" s="8">
        <v>0.30217984429822414</v>
      </c>
      <c r="BC67" s="8">
        <v>0.27531235746406996</v>
      </c>
      <c r="BD67" s="8">
        <v>0.27041271803479633</v>
      </c>
      <c r="BE67" s="8">
        <v>0.37240775916293356</v>
      </c>
      <c r="BF67" s="8">
        <v>0.61663791137829294</v>
      </c>
      <c r="BG67" s="8">
        <v>0.79504880427648805</v>
      </c>
      <c r="BH67" s="8">
        <v>0.42831040348840366</v>
      </c>
      <c r="BI67" s="8">
        <v>0.33188960849475196</v>
      </c>
      <c r="BJ67" s="8">
        <v>0.29781869139617406</v>
      </c>
      <c r="BK67" s="8">
        <v>0.27647695155517338</v>
      </c>
      <c r="BL67" s="8">
        <v>0.33830059241092231</v>
      </c>
      <c r="BM67" s="8">
        <v>0.61486580956568071</v>
      </c>
      <c r="BN67" s="8">
        <v>0.71233794308889409</v>
      </c>
      <c r="BO67" s="8">
        <v>0.37710319219138388</v>
      </c>
      <c r="BP67" s="8">
        <v>0.30359189863126546</v>
      </c>
      <c r="BQ67" s="8">
        <v>0.28174419486675151</v>
      </c>
      <c r="BR67" s="8">
        <v>0.26889644919819267</v>
      </c>
      <c r="BS67" s="8">
        <v>0.35144945327989457</v>
      </c>
      <c r="BT67" s="8">
        <v>0.65363901882703979</v>
      </c>
      <c r="BU67" s="8">
        <v>0.76357579300547163</v>
      </c>
      <c r="BV67" s="8">
        <v>1.1016947985991348</v>
      </c>
      <c r="BW67" s="8">
        <v>0.89830520140086512</v>
      </c>
      <c r="BX67" s="8">
        <v>0</v>
      </c>
      <c r="BY67" s="8">
        <v>3</v>
      </c>
      <c r="BZ67" s="8">
        <v>3</v>
      </c>
      <c r="CA67" s="8">
        <v>3</v>
      </c>
      <c r="CB67" s="8">
        <v>3</v>
      </c>
      <c r="CC67" s="8">
        <v>2</v>
      </c>
      <c r="CD67" s="8">
        <v>0</v>
      </c>
      <c r="CE67" s="8">
        <v>14</v>
      </c>
      <c r="CF67" s="9">
        <v>1.0844067100169905</v>
      </c>
      <c r="CG67" s="9">
        <v>0.94632981847179387</v>
      </c>
      <c r="CH67" s="9">
        <v>0.88831984208633608</v>
      </c>
      <c r="CI67" s="9">
        <v>0.86745933324035374</v>
      </c>
      <c r="CJ67" s="9">
        <v>0.98369896720803918</v>
      </c>
      <c r="CK67" s="9">
        <v>1.4207525657905706</v>
      </c>
      <c r="CL67" s="9">
        <v>1.8090327631859162</v>
      </c>
      <c r="CM67" s="9">
        <v>0.99323683744700375</v>
      </c>
      <c r="CN67" s="9">
        <v>0.86216560594514013</v>
      </c>
      <c r="CO67" s="9">
        <v>0.77906211921629342</v>
      </c>
      <c r="CP67" s="9">
        <v>0.78347514687981223</v>
      </c>
      <c r="CQ67" s="9">
        <v>1.0303973903058044</v>
      </c>
      <c r="CR67" s="9">
        <v>1.6089994696580552</v>
      </c>
      <c r="CS67" s="9">
        <v>1.9426634305478911</v>
      </c>
      <c r="CT67" s="9">
        <v>1.1393544791053842</v>
      </c>
      <c r="CU67" s="9">
        <v>0.93848957950259859</v>
      </c>
      <c r="CV67" s="9">
        <v>0.84463714268081036</v>
      </c>
      <c r="CW67" s="9">
        <v>0.79142141121394394</v>
      </c>
      <c r="CX67" s="9">
        <v>0.94311573557046513</v>
      </c>
      <c r="CY67" s="9">
        <v>1.5956902632960324</v>
      </c>
      <c r="CZ67" s="9">
        <v>1.7472913886307655</v>
      </c>
      <c r="DA67" s="9">
        <v>1.024528510633572</v>
      </c>
      <c r="DB67" s="9">
        <v>0.86765989972787472</v>
      </c>
      <c r="DC67" s="9">
        <v>0.81063793606504719</v>
      </c>
      <c r="DD67" s="9">
        <v>0.76471956761514837</v>
      </c>
      <c r="DE67" s="9">
        <v>0.9761384203087129</v>
      </c>
      <c r="DF67" s="9">
        <v>1.6881953565977224</v>
      </c>
      <c r="DG67" s="9">
        <v>1.8681203090519212</v>
      </c>
      <c r="DH67" s="9">
        <v>2.1431489345445058</v>
      </c>
      <c r="DI67" s="9">
        <v>1.8568510654554939</v>
      </c>
      <c r="DJ67" s="9"/>
      <c r="DK67" s="9">
        <v>8</v>
      </c>
      <c r="DL67" s="9">
        <v>8</v>
      </c>
      <c r="DM67" s="9">
        <v>8</v>
      </c>
      <c r="DN67" s="9">
        <v>8</v>
      </c>
      <c r="DO67" s="9">
        <v>4</v>
      </c>
      <c r="DP67" s="9"/>
      <c r="DQ67" s="9">
        <v>36</v>
      </c>
      <c r="DR67" s="8">
        <f>+SUM(Tabla2[[#This Row],[1 gral]:[1 gral]])</f>
        <v>1.0844067100169905</v>
      </c>
      <c r="DS67" s="8">
        <f>+SUM(Tabla2[[#This Row],[1 temm]:[1 temm]])</f>
        <v>0.41306087536539887</v>
      </c>
      <c r="DT67" s="8">
        <f>+SUM(Tabla2[[#This Row],[1 porta]:[1 porta]])</f>
        <v>0.12059800083105997</v>
      </c>
      <c r="DU67" s="8">
        <f>+Tabla2[[#This Row],[GRAL]]-(Tabla2[[#This Row],[TEMM14]]+Tabla2[[#This Row],[PORTA15]])</f>
        <v>0.55074783382053172</v>
      </c>
    </row>
    <row r="68" spans="1:125" x14ac:dyDescent="0.2">
      <c r="A68" s="84" t="s">
        <v>99</v>
      </c>
      <c r="B68" s="84" t="s">
        <v>482</v>
      </c>
      <c r="C68" s="11" t="s">
        <v>127</v>
      </c>
      <c r="D68" s="11">
        <v>2092437</v>
      </c>
      <c r="E68" s="11" t="s">
        <v>104</v>
      </c>
      <c r="F68" s="11" t="s">
        <v>314</v>
      </c>
      <c r="G68" s="43" t="s">
        <v>281</v>
      </c>
      <c r="H68" s="10">
        <v>0.12059800083105997</v>
      </c>
      <c r="I68" s="10">
        <v>0.16789847649467127</v>
      </c>
      <c r="J68" s="10">
        <v>0.1562207193579257</v>
      </c>
      <c r="K68" s="10">
        <v>0.15006952754027642</v>
      </c>
      <c r="L68" s="10">
        <v>0.16374086192033718</v>
      </c>
      <c r="M68" s="10">
        <v>0.14743099948912008</v>
      </c>
      <c r="N68" s="10">
        <v>9.4041414366609274E-2</v>
      </c>
      <c r="O68" s="10">
        <v>0.13456875821488182</v>
      </c>
      <c r="P68" s="10">
        <v>0.15707930258261715</v>
      </c>
      <c r="Q68" s="10">
        <v>0.1366666184667969</v>
      </c>
      <c r="R68" s="10">
        <v>0.15251213813195408</v>
      </c>
      <c r="S68" s="10">
        <v>0.16144595225895933</v>
      </c>
      <c r="T68" s="10">
        <v>0.17017767644203829</v>
      </c>
      <c r="U68" s="10">
        <v>8.7549553902752458E-2</v>
      </c>
      <c r="V68" s="10">
        <v>0.13996353763244257</v>
      </c>
      <c r="W68" s="10">
        <v>0.16408049301484401</v>
      </c>
      <c r="X68" s="10">
        <v>0.14972686275640418</v>
      </c>
      <c r="Y68" s="10">
        <v>0.1463085242518728</v>
      </c>
      <c r="Z68" s="10">
        <v>0.15374768661164634</v>
      </c>
      <c r="AA68" s="10">
        <v>0.16100337430944414</v>
      </c>
      <c r="AB68" s="10">
        <v>8.5169521423346065E-2</v>
      </c>
      <c r="AC68" s="10">
        <v>0.14462106218700971</v>
      </c>
      <c r="AD68" s="10">
        <v>0.15927880292158872</v>
      </c>
      <c r="AE68" s="10">
        <v>0.15323481470929368</v>
      </c>
      <c r="AF68" s="10">
        <v>0.13729451948603222</v>
      </c>
      <c r="AG68" s="10">
        <v>0.15608969598895889</v>
      </c>
      <c r="AH68" s="10">
        <v>0.163037646001296</v>
      </c>
      <c r="AI68" s="10">
        <v>8.6443458705820736E-2</v>
      </c>
      <c r="AJ68" s="10">
        <v>0.49060673664580357</v>
      </c>
      <c r="AK68" s="10">
        <v>0.50939326335419632</v>
      </c>
      <c r="AL68" s="10">
        <v>0</v>
      </c>
      <c r="AM68" s="6">
        <v>1</v>
      </c>
      <c r="AN68" s="8">
        <v>1</v>
      </c>
      <c r="AO68" s="8">
        <v>1</v>
      </c>
      <c r="AP68" s="8">
        <v>1</v>
      </c>
      <c r="AQ68" s="8">
        <v>1</v>
      </c>
      <c r="AR68" s="8">
        <v>0</v>
      </c>
      <c r="AS68" s="87">
        <v>5</v>
      </c>
      <c r="AT68" s="8">
        <v>0.41306087536539887</v>
      </c>
      <c r="AU68" s="8">
        <v>0.33361343227590967</v>
      </c>
      <c r="AV68" s="8">
        <v>0.31375676688360443</v>
      </c>
      <c r="AW68" s="8">
        <v>0.30745277387146175</v>
      </c>
      <c r="AX68" s="8">
        <v>0.35141061655187228</v>
      </c>
      <c r="AY68" s="8">
        <v>0.54570924270062171</v>
      </c>
      <c r="AZ68" s="8">
        <v>0.73499629235113151</v>
      </c>
      <c r="BA68" s="8">
        <v>0.36800060538519513</v>
      </c>
      <c r="BB68" s="8">
        <v>0.30217984429822414</v>
      </c>
      <c r="BC68" s="8">
        <v>0.27531235746406996</v>
      </c>
      <c r="BD68" s="8">
        <v>0.27041271803479633</v>
      </c>
      <c r="BE68" s="8">
        <v>0.37240775916293356</v>
      </c>
      <c r="BF68" s="8">
        <v>0.61663791137829294</v>
      </c>
      <c r="BG68" s="8">
        <v>0.79504880427648805</v>
      </c>
      <c r="BH68" s="8">
        <v>0.42831040348840366</v>
      </c>
      <c r="BI68" s="8">
        <v>0.33188960849475196</v>
      </c>
      <c r="BJ68" s="8">
        <v>0.29781869139617406</v>
      </c>
      <c r="BK68" s="8">
        <v>0.27647695155517338</v>
      </c>
      <c r="BL68" s="8">
        <v>0.33830059241092231</v>
      </c>
      <c r="BM68" s="8">
        <v>0.61486580956568071</v>
      </c>
      <c r="BN68" s="8">
        <v>0.71233794308889409</v>
      </c>
      <c r="BO68" s="8">
        <v>0.37710319219138388</v>
      </c>
      <c r="BP68" s="8">
        <v>0.30359189863126546</v>
      </c>
      <c r="BQ68" s="8">
        <v>0.28174419486675151</v>
      </c>
      <c r="BR68" s="8">
        <v>0.26889644919819267</v>
      </c>
      <c r="BS68" s="8">
        <v>0.35144945327989457</v>
      </c>
      <c r="BT68" s="8">
        <v>0.65363901882703979</v>
      </c>
      <c r="BU68" s="8">
        <v>0.76357579300547163</v>
      </c>
      <c r="BV68" s="8">
        <v>1.1016947985991348</v>
      </c>
      <c r="BW68" s="8">
        <v>0.89830520140086512</v>
      </c>
      <c r="BX68" s="8">
        <v>0</v>
      </c>
      <c r="BY68" s="8">
        <v>3</v>
      </c>
      <c r="BZ68" s="8">
        <v>3</v>
      </c>
      <c r="CA68" s="8">
        <v>3</v>
      </c>
      <c r="CB68" s="8">
        <v>3</v>
      </c>
      <c r="CC68" s="8">
        <v>2</v>
      </c>
      <c r="CD68" s="8">
        <v>0</v>
      </c>
      <c r="CE68" s="8">
        <v>14</v>
      </c>
      <c r="CF68" s="9">
        <v>0.94671975156185773</v>
      </c>
      <c r="CG68" s="9">
        <v>0.83512534104649061</v>
      </c>
      <c r="CH68" s="9">
        <v>0.78373425312513456</v>
      </c>
      <c r="CI68" s="9">
        <v>0.76497507528319986</v>
      </c>
      <c r="CJ68" s="9">
        <v>0.86656209502408177</v>
      </c>
      <c r="CK68" s="9">
        <v>1.2388494848903635</v>
      </c>
      <c r="CL68" s="9">
        <v>1.5640339990688723</v>
      </c>
      <c r="CM68" s="9">
        <v>0.87056996898527217</v>
      </c>
      <c r="CN68" s="9">
        <v>0.76143899117906544</v>
      </c>
      <c r="CO68" s="9">
        <v>0.68729133339493687</v>
      </c>
      <c r="CP68" s="9">
        <v>0.69333757420154674</v>
      </c>
      <c r="CQ68" s="9">
        <v>0.90626147058482642</v>
      </c>
      <c r="CR68" s="9">
        <v>1.4034534991986241</v>
      </c>
      <c r="CS68" s="9">
        <v>1.6776471624557285</v>
      </c>
      <c r="CT68" s="9">
        <v>0.99658434460924983</v>
      </c>
      <c r="CU68" s="9">
        <v>0.82785971000434788</v>
      </c>
      <c r="CV68" s="9">
        <v>0.74536424554875236</v>
      </c>
      <c r="CW68" s="9">
        <v>0.69926242736221955</v>
      </c>
      <c r="CX68" s="9">
        <v>0.83034887143349101</v>
      </c>
      <c r="CY68" s="9">
        <v>1.3907349934408055</v>
      </c>
      <c r="CZ68" s="9">
        <v>1.5098454076011343</v>
      </c>
      <c r="DA68" s="9">
        <v>0.77312638250598287</v>
      </c>
      <c r="DB68" s="9">
        <v>0.66526530064036438</v>
      </c>
      <c r="DC68" s="9">
        <v>0.62280847282054619</v>
      </c>
      <c r="DD68" s="9">
        <v>0.58545526814968663</v>
      </c>
      <c r="DE68" s="9">
        <v>0.74183878478878318</v>
      </c>
      <c r="DF68" s="9">
        <v>1.252436010713029</v>
      </c>
      <c r="DG68" s="9">
        <v>1.3590697803816068</v>
      </c>
      <c r="DH68" s="9">
        <v>1.5923015352449383</v>
      </c>
      <c r="DI68" s="9">
        <v>1.4076984647550614</v>
      </c>
      <c r="DJ68" s="9"/>
      <c r="DK68" s="9">
        <v>7</v>
      </c>
      <c r="DL68" s="9">
        <v>7</v>
      </c>
      <c r="DM68" s="9">
        <v>7</v>
      </c>
      <c r="DN68" s="9">
        <v>6</v>
      </c>
      <c r="DO68" s="9">
        <v>3</v>
      </c>
      <c r="DP68" s="9"/>
      <c r="DQ68" s="9">
        <v>30</v>
      </c>
      <c r="DR68" s="8">
        <f>+SUM(Tabla2[[#This Row],[1 gral]:[1 gral]])</f>
        <v>0.94671975156185773</v>
      </c>
      <c r="DS68" s="8">
        <f>+SUM(Tabla2[[#This Row],[1 temm]:[1 temm]])</f>
        <v>0.41306087536539887</v>
      </c>
      <c r="DT68" s="8">
        <f>+SUM(Tabla2[[#This Row],[1 porta]:[1 porta]])</f>
        <v>0.12059800083105997</v>
      </c>
      <c r="DU68" s="8">
        <f>+Tabla2[[#This Row],[GRAL]]-(Tabla2[[#This Row],[TEMM14]]+Tabla2[[#This Row],[PORTA15]])</f>
        <v>0.41306087536539893</v>
      </c>
    </row>
    <row r="69" spans="1:125" hidden="1" x14ac:dyDescent="0.2">
      <c r="A69" s="84" t="s">
        <v>455</v>
      </c>
      <c r="B69" s="84" t="s">
        <v>483</v>
      </c>
      <c r="C69" s="11" t="s">
        <v>450</v>
      </c>
      <c r="D69" s="11">
        <v>2092446</v>
      </c>
      <c r="E69" s="11" t="s">
        <v>423</v>
      </c>
      <c r="F69" s="11" t="s">
        <v>471</v>
      </c>
      <c r="G69" s="43" t="s">
        <v>281</v>
      </c>
      <c r="H69" s="10">
        <v>0.12059800083105997</v>
      </c>
      <c r="I69" s="10">
        <v>0.16789847649467127</v>
      </c>
      <c r="J69" s="10">
        <v>0.1562207193579257</v>
      </c>
      <c r="K69" s="10">
        <v>0.15006952754027642</v>
      </c>
      <c r="L69" s="10">
        <v>0.16374086192033718</v>
      </c>
      <c r="M69" s="10">
        <v>0.14743099948912008</v>
      </c>
      <c r="N69" s="10">
        <v>9.4041414366609274E-2</v>
      </c>
      <c r="O69" s="10">
        <v>0.13456875821488182</v>
      </c>
      <c r="P69" s="10">
        <v>0.15707930258261715</v>
      </c>
      <c r="Q69" s="10">
        <v>0.1366666184667969</v>
      </c>
      <c r="R69" s="10">
        <v>0.15251213813195408</v>
      </c>
      <c r="S69" s="10">
        <v>0.16144595225895933</v>
      </c>
      <c r="T69" s="10">
        <v>0.17017767644203829</v>
      </c>
      <c r="U69" s="10">
        <v>8.7549553902752458E-2</v>
      </c>
      <c r="V69" s="10">
        <v>0.13996353763244257</v>
      </c>
      <c r="W69" s="10">
        <v>0.16408049301484401</v>
      </c>
      <c r="X69" s="10">
        <v>0.14972686275640418</v>
      </c>
      <c r="Y69" s="10">
        <v>0.1463085242518728</v>
      </c>
      <c r="Z69" s="10">
        <v>0.15374768661164634</v>
      </c>
      <c r="AA69" s="10">
        <v>0.16100337430944414</v>
      </c>
      <c r="AB69" s="10">
        <v>8.5169521423346065E-2</v>
      </c>
      <c r="AC69" s="10">
        <v>0.14462106218700971</v>
      </c>
      <c r="AD69" s="10">
        <v>0.15927880292158872</v>
      </c>
      <c r="AE69" s="10">
        <v>0.15323481470929368</v>
      </c>
      <c r="AF69" s="10">
        <v>0.13729451948603222</v>
      </c>
      <c r="AG69" s="10">
        <v>0.15608969598895889</v>
      </c>
      <c r="AH69" s="10">
        <v>0.163037646001296</v>
      </c>
      <c r="AI69" s="10">
        <v>8.6443458705820736E-2</v>
      </c>
      <c r="AJ69" s="10">
        <v>0</v>
      </c>
      <c r="AK69" s="10">
        <v>0</v>
      </c>
      <c r="AL69" s="10">
        <v>0</v>
      </c>
      <c r="AM69" s="6">
        <v>1</v>
      </c>
      <c r="AN69" s="8">
        <v>1</v>
      </c>
      <c r="AO69" s="8">
        <v>1</v>
      </c>
      <c r="AP69" s="8">
        <v>1</v>
      </c>
      <c r="AQ69" s="8">
        <v>0</v>
      </c>
      <c r="AR69" s="8">
        <v>0</v>
      </c>
      <c r="AS69" s="64">
        <v>4</v>
      </c>
      <c r="AT69" s="8">
        <v>0.41306087536539887</v>
      </c>
      <c r="AU69" s="8">
        <v>0.33361343227590967</v>
      </c>
      <c r="AV69" s="8">
        <v>0.31375676688360443</v>
      </c>
      <c r="AW69" s="8">
        <v>0.30745277387146175</v>
      </c>
      <c r="AX69" s="8">
        <v>0.35141061655187228</v>
      </c>
      <c r="AY69" s="8">
        <v>0.54570924270062171</v>
      </c>
      <c r="AZ69" s="8">
        <v>0.73499629235113151</v>
      </c>
      <c r="BA69" s="8">
        <v>0.36800060538519513</v>
      </c>
      <c r="BB69" s="8">
        <v>0.30217984429822414</v>
      </c>
      <c r="BC69" s="8">
        <v>0.27531235746406996</v>
      </c>
      <c r="BD69" s="8">
        <v>0.27041271803479633</v>
      </c>
      <c r="BE69" s="8">
        <v>0.37240775916293356</v>
      </c>
      <c r="BF69" s="8">
        <v>0.61663791137829294</v>
      </c>
      <c r="BG69" s="8">
        <v>0.79504880427648805</v>
      </c>
      <c r="BH69" s="8">
        <v>0.42831040348840366</v>
      </c>
      <c r="BI69" s="8">
        <v>0.33188960849475196</v>
      </c>
      <c r="BJ69" s="8">
        <v>0.29781869139617406</v>
      </c>
      <c r="BK69" s="8">
        <v>0.27647695155517338</v>
      </c>
      <c r="BL69" s="8">
        <v>0.33830059241092231</v>
      </c>
      <c r="BM69" s="8">
        <v>0.61486580956568071</v>
      </c>
      <c r="BN69" s="8">
        <v>0.71233794308889409</v>
      </c>
      <c r="BO69" s="8">
        <v>0.37710319219138388</v>
      </c>
      <c r="BP69" s="8">
        <v>0.30359189863126546</v>
      </c>
      <c r="BQ69" s="8">
        <v>0.28174419486675151</v>
      </c>
      <c r="BR69" s="8">
        <v>0.26889644919819267</v>
      </c>
      <c r="BS69" s="8">
        <v>0.35144945327989457</v>
      </c>
      <c r="BT69" s="8">
        <v>0.65363901882703979</v>
      </c>
      <c r="BU69" s="8">
        <v>0.76357579300547163</v>
      </c>
      <c r="BV69" s="8">
        <v>0</v>
      </c>
      <c r="BW69" s="8">
        <v>0</v>
      </c>
      <c r="BX69" s="8">
        <v>0</v>
      </c>
      <c r="BY69" s="8">
        <v>3</v>
      </c>
      <c r="BZ69" s="8">
        <v>3</v>
      </c>
      <c r="CA69" s="8">
        <v>3</v>
      </c>
      <c r="CB69" s="8">
        <v>3</v>
      </c>
      <c r="CC69" s="8">
        <v>0</v>
      </c>
      <c r="CD69" s="8">
        <v>0</v>
      </c>
      <c r="CE69" s="8">
        <v>12</v>
      </c>
      <c r="CF69" s="9">
        <v>1.3597806269272565</v>
      </c>
      <c r="CG69" s="9">
        <v>1.1687387733224002</v>
      </c>
      <c r="CH69" s="9">
        <v>1.0974910200087389</v>
      </c>
      <c r="CI69" s="9">
        <v>1.0724278491546617</v>
      </c>
      <c r="CJ69" s="9">
        <v>1.217972711575954</v>
      </c>
      <c r="CK69" s="9">
        <v>1.7845587275909853</v>
      </c>
      <c r="CL69" s="9">
        <v>2.2990302914200038</v>
      </c>
      <c r="CM69" s="9">
        <v>1.2385705743704674</v>
      </c>
      <c r="CN69" s="9">
        <v>1.0636188354772895</v>
      </c>
      <c r="CO69" s="9">
        <v>0.96260369085900677</v>
      </c>
      <c r="CP69" s="9">
        <v>0.96375029223634301</v>
      </c>
      <c r="CQ69" s="9">
        <v>1.27866922974776</v>
      </c>
      <c r="CR69" s="9">
        <v>2.0200914105769172</v>
      </c>
      <c r="CS69" s="9">
        <v>2.4726959667322168</v>
      </c>
      <c r="CT69" s="9">
        <v>1.4248947480976535</v>
      </c>
      <c r="CU69" s="9">
        <v>1.1597493184990999</v>
      </c>
      <c r="CV69" s="9">
        <v>1.0431829369449264</v>
      </c>
      <c r="CW69" s="9">
        <v>0.97573937891739293</v>
      </c>
      <c r="CX69" s="9">
        <v>1.1686494638444134</v>
      </c>
      <c r="CY69" s="9">
        <v>2.0056008030064865</v>
      </c>
      <c r="CZ69" s="9">
        <v>2.2221833506900284</v>
      </c>
      <c r="DA69" s="9">
        <v>1.2759306387611613</v>
      </c>
      <c r="DB69" s="9">
        <v>1.0700544988153851</v>
      </c>
      <c r="DC69" s="9">
        <v>0.9984673993095482</v>
      </c>
      <c r="DD69" s="9">
        <v>0.94398386708061022</v>
      </c>
      <c r="DE69" s="9">
        <v>1.2104380558286425</v>
      </c>
      <c r="DF69" s="9">
        <v>2.1239547024824152</v>
      </c>
      <c r="DG69" s="9">
        <v>2.3771708377222356</v>
      </c>
      <c r="DH69" s="9">
        <v>0.55084739929956739</v>
      </c>
      <c r="DI69" s="9">
        <v>0.44915260070043256</v>
      </c>
      <c r="DJ69" s="9"/>
      <c r="DK69" s="9">
        <v>10</v>
      </c>
      <c r="DL69" s="9">
        <v>10</v>
      </c>
      <c r="DM69" s="9">
        <v>10</v>
      </c>
      <c r="DN69" s="9">
        <v>10</v>
      </c>
      <c r="DO69" s="9">
        <v>1</v>
      </c>
      <c r="DP69" s="9"/>
      <c r="DQ69" s="9">
        <v>41</v>
      </c>
      <c r="DR69" s="8">
        <f>+SUM(Tabla2[[#This Row],[1 gral]:[1 gral]])</f>
        <v>1.3597806269272565</v>
      </c>
      <c r="DS69" s="8">
        <f>+SUM(Tabla2[[#This Row],[1 temm]:[1 temm]])</f>
        <v>0.41306087536539887</v>
      </c>
      <c r="DT69" s="8">
        <f>+SUM(Tabla2[[#This Row],[1 porta]:[1 porta]])</f>
        <v>0.12059800083105997</v>
      </c>
      <c r="DU69" s="8">
        <f>+Tabla2[[#This Row],[GRAL]]-(Tabla2[[#This Row],[TEMM14]]+Tabla2[[#This Row],[PORTA15]])</f>
        <v>0.82612175073079774</v>
      </c>
    </row>
    <row r="70" spans="1:125" hidden="1" x14ac:dyDescent="0.2">
      <c r="A70" s="84" t="s">
        <v>455</v>
      </c>
      <c r="B70" s="84" t="s">
        <v>483</v>
      </c>
      <c r="C70" s="11" t="s">
        <v>451</v>
      </c>
      <c r="D70" s="11">
        <v>2092447</v>
      </c>
      <c r="E70" s="11" t="s">
        <v>424</v>
      </c>
      <c r="F70" s="11" t="s">
        <v>472</v>
      </c>
      <c r="G70" s="43" t="s">
        <v>281</v>
      </c>
      <c r="H70" s="10">
        <v>0.12059800083105997</v>
      </c>
      <c r="I70" s="10">
        <v>0.16789847649467127</v>
      </c>
      <c r="J70" s="10">
        <v>0.1562207193579257</v>
      </c>
      <c r="K70" s="10">
        <v>0.15006952754027642</v>
      </c>
      <c r="L70" s="10">
        <v>0.16374086192033718</v>
      </c>
      <c r="M70" s="10">
        <v>0.14743099948912008</v>
      </c>
      <c r="N70" s="10">
        <v>9.4041414366609274E-2</v>
      </c>
      <c r="O70" s="10">
        <v>0.13456875821488182</v>
      </c>
      <c r="P70" s="10">
        <v>0.15707930258261715</v>
      </c>
      <c r="Q70" s="10">
        <v>0.1366666184667969</v>
      </c>
      <c r="R70" s="10">
        <v>0.15251213813195408</v>
      </c>
      <c r="S70" s="10">
        <v>0.16144595225895933</v>
      </c>
      <c r="T70" s="10">
        <v>0.17017767644203829</v>
      </c>
      <c r="U70" s="10">
        <v>8.7549553902752458E-2</v>
      </c>
      <c r="V70" s="10">
        <v>0.13996353763244257</v>
      </c>
      <c r="W70" s="10">
        <v>0.16408049301484401</v>
      </c>
      <c r="X70" s="10">
        <v>0.14972686275640418</v>
      </c>
      <c r="Y70" s="10">
        <v>0.1463085242518728</v>
      </c>
      <c r="Z70" s="10">
        <v>0.15374768661164634</v>
      </c>
      <c r="AA70" s="10">
        <v>0.16100337430944414</v>
      </c>
      <c r="AB70" s="10">
        <v>8.5169521423346065E-2</v>
      </c>
      <c r="AC70" s="10">
        <v>0.14462106218700971</v>
      </c>
      <c r="AD70" s="10">
        <v>0.15927880292158872</v>
      </c>
      <c r="AE70" s="10">
        <v>0.15323481470929368</v>
      </c>
      <c r="AF70" s="10">
        <v>0.13729451948603222</v>
      </c>
      <c r="AG70" s="10">
        <v>0.15608969598895889</v>
      </c>
      <c r="AH70" s="10">
        <v>0.163037646001296</v>
      </c>
      <c r="AI70" s="10">
        <v>8.6443458705820736E-2</v>
      </c>
      <c r="AJ70" s="10">
        <v>0</v>
      </c>
      <c r="AK70" s="10">
        <v>0</v>
      </c>
      <c r="AL70" s="10">
        <v>0</v>
      </c>
      <c r="AM70" s="6">
        <v>1</v>
      </c>
      <c r="AN70" s="8">
        <v>1</v>
      </c>
      <c r="AO70" s="8">
        <v>1</v>
      </c>
      <c r="AP70" s="8">
        <v>1</v>
      </c>
      <c r="AQ70" s="8">
        <v>0</v>
      </c>
      <c r="AR70" s="8">
        <v>0</v>
      </c>
      <c r="AS70" s="64">
        <v>4</v>
      </c>
      <c r="AT70" s="8">
        <v>0.55074783382053183</v>
      </c>
      <c r="AU70" s="8">
        <v>0.44481790970121293</v>
      </c>
      <c r="AV70" s="8">
        <v>0.41834235584480589</v>
      </c>
      <c r="AW70" s="8">
        <v>0.40993703182861563</v>
      </c>
      <c r="AX70" s="8">
        <v>0.46854748873582969</v>
      </c>
      <c r="AY70" s="8">
        <v>0.72761232360082895</v>
      </c>
      <c r="AZ70" s="8">
        <v>0.97999505646817542</v>
      </c>
      <c r="BA70" s="8">
        <v>0.49066747384692683</v>
      </c>
      <c r="BB70" s="8">
        <v>0.40290645906429884</v>
      </c>
      <c r="BC70" s="8">
        <v>0.36708314328542663</v>
      </c>
      <c r="BD70" s="8">
        <v>0.36055029071306177</v>
      </c>
      <c r="BE70" s="8">
        <v>0.49654367888391138</v>
      </c>
      <c r="BF70" s="8">
        <v>0.82218388183772395</v>
      </c>
      <c r="BG70" s="8">
        <v>1.0600650723686507</v>
      </c>
      <c r="BH70" s="8">
        <v>0.57108053798453817</v>
      </c>
      <c r="BI70" s="8">
        <v>0.44251947799300262</v>
      </c>
      <c r="BJ70" s="8">
        <v>0.39709158852823206</v>
      </c>
      <c r="BK70" s="8">
        <v>0.36863593540689782</v>
      </c>
      <c r="BL70" s="8">
        <v>0.45106745654789643</v>
      </c>
      <c r="BM70" s="8">
        <v>0.81982107942090765</v>
      </c>
      <c r="BN70" s="8">
        <v>0.94978392411852541</v>
      </c>
      <c r="BO70" s="8">
        <v>0.50280425625517855</v>
      </c>
      <c r="BP70" s="8">
        <v>0.40478919817502057</v>
      </c>
      <c r="BQ70" s="8">
        <v>0.37565892648900201</v>
      </c>
      <c r="BR70" s="8">
        <v>0.35852859893092354</v>
      </c>
      <c r="BS70" s="8">
        <v>0.46859927103985943</v>
      </c>
      <c r="BT70" s="8">
        <v>0.87151869176938646</v>
      </c>
      <c r="BU70" s="8">
        <v>1.0181010573406288</v>
      </c>
      <c r="BV70" s="8">
        <v>1.1016947985991348</v>
      </c>
      <c r="BW70" s="8">
        <v>0.89830520140086512</v>
      </c>
      <c r="BX70" s="8">
        <v>0</v>
      </c>
      <c r="BY70" s="8">
        <v>4</v>
      </c>
      <c r="BZ70" s="8">
        <v>4</v>
      </c>
      <c r="CA70" s="8">
        <v>4</v>
      </c>
      <c r="CB70" s="8">
        <v>4</v>
      </c>
      <c r="CC70" s="8">
        <v>2</v>
      </c>
      <c r="CD70" s="8">
        <v>0</v>
      </c>
      <c r="CE70" s="8">
        <v>18</v>
      </c>
      <c r="CF70" s="9">
        <v>1.3597806269272565</v>
      </c>
      <c r="CG70" s="9">
        <v>1.1687387733224004</v>
      </c>
      <c r="CH70" s="9">
        <v>1.0974910200087389</v>
      </c>
      <c r="CI70" s="9">
        <v>1.0724278491546615</v>
      </c>
      <c r="CJ70" s="9">
        <v>1.217972711575954</v>
      </c>
      <c r="CK70" s="9">
        <v>1.7845587275909853</v>
      </c>
      <c r="CL70" s="9">
        <v>2.2990302914200038</v>
      </c>
      <c r="CM70" s="9">
        <v>1.2385705743704674</v>
      </c>
      <c r="CN70" s="9">
        <v>1.0636188354772895</v>
      </c>
      <c r="CO70" s="9">
        <v>0.96260369085900677</v>
      </c>
      <c r="CP70" s="9">
        <v>0.96375029223634301</v>
      </c>
      <c r="CQ70" s="9">
        <v>1.2786692297477598</v>
      </c>
      <c r="CR70" s="9">
        <v>2.0200914105769172</v>
      </c>
      <c r="CS70" s="9">
        <v>2.4726959667322164</v>
      </c>
      <c r="CT70" s="9">
        <v>1.282124613601519</v>
      </c>
      <c r="CU70" s="9">
        <v>1.0491194490008493</v>
      </c>
      <c r="CV70" s="9">
        <v>0.94391003981286836</v>
      </c>
      <c r="CW70" s="9">
        <v>0.88358039506566843</v>
      </c>
      <c r="CX70" s="9">
        <v>1.0558825997074393</v>
      </c>
      <c r="CY70" s="9">
        <v>1.8006455331512594</v>
      </c>
      <c r="CZ70" s="9">
        <v>1.9847373696603969</v>
      </c>
      <c r="DA70" s="9">
        <v>1.150229574697367</v>
      </c>
      <c r="DB70" s="9">
        <v>0.96885719927162983</v>
      </c>
      <c r="DC70" s="9">
        <v>0.9045526676872977</v>
      </c>
      <c r="DD70" s="9">
        <v>0.85435171734787929</v>
      </c>
      <c r="DE70" s="9">
        <v>1.0932882380686777</v>
      </c>
      <c r="DF70" s="9">
        <v>1.9060750295400688</v>
      </c>
      <c r="DG70" s="9">
        <v>2.1226455733870786</v>
      </c>
      <c r="DH70" s="9">
        <v>1.6525421978987023</v>
      </c>
      <c r="DI70" s="9">
        <v>1.3474578021012977</v>
      </c>
      <c r="DJ70" s="9"/>
      <c r="DK70" s="9">
        <v>10</v>
      </c>
      <c r="DL70" s="9">
        <v>10</v>
      </c>
      <c r="DM70" s="9">
        <v>9</v>
      </c>
      <c r="DN70" s="9">
        <v>9</v>
      </c>
      <c r="DO70" s="9">
        <v>3</v>
      </c>
      <c r="DP70" s="9"/>
      <c r="DQ70" s="9">
        <v>41</v>
      </c>
      <c r="DR70" s="8">
        <f>+SUM(Tabla2[[#This Row],[1 gral]:[1 gral]])</f>
        <v>1.3597806269272565</v>
      </c>
      <c r="DS70" s="8">
        <f>+SUM(Tabla2[[#This Row],[1 temm]:[1 temm]])</f>
        <v>0.55074783382053183</v>
      </c>
      <c r="DT70" s="8">
        <f>+SUM(Tabla2[[#This Row],[1 porta]:[1 porta]])</f>
        <v>0.12059800083105997</v>
      </c>
      <c r="DU70" s="8">
        <f>+Tabla2[[#This Row],[GRAL]]-(Tabla2[[#This Row],[TEMM14]]+Tabla2[[#This Row],[PORTA15]])</f>
        <v>0.68843479227566473</v>
      </c>
    </row>
    <row r="71" spans="1:125" hidden="1" x14ac:dyDescent="0.2">
      <c r="A71" s="84" t="s">
        <v>458</v>
      </c>
      <c r="B71" s="84" t="s">
        <v>483</v>
      </c>
      <c r="C71" s="11" t="s">
        <v>452</v>
      </c>
      <c r="D71" s="11">
        <v>2092457</v>
      </c>
      <c r="E71" s="11" t="s">
        <v>425</v>
      </c>
      <c r="F71" s="11" t="s">
        <v>473</v>
      </c>
      <c r="G71" s="43" t="s">
        <v>281</v>
      </c>
      <c r="H71" s="10">
        <v>0.12059800083105997</v>
      </c>
      <c r="I71" s="10">
        <v>0.16789847649467127</v>
      </c>
      <c r="J71" s="10">
        <v>0.1562207193579257</v>
      </c>
      <c r="K71" s="10">
        <v>0.15006952754027642</v>
      </c>
      <c r="L71" s="10">
        <v>0.16374086192033718</v>
      </c>
      <c r="M71" s="10">
        <v>0.14743099948912008</v>
      </c>
      <c r="N71" s="10">
        <v>9.4041414366609274E-2</v>
      </c>
      <c r="O71" s="10">
        <v>0.13456875821488182</v>
      </c>
      <c r="P71" s="10">
        <v>0.15707930258261715</v>
      </c>
      <c r="Q71" s="10">
        <v>0.1366666184667969</v>
      </c>
      <c r="R71" s="10">
        <v>0.15251213813195408</v>
      </c>
      <c r="S71" s="10">
        <v>0.16144595225895933</v>
      </c>
      <c r="T71" s="10">
        <v>0.17017767644203829</v>
      </c>
      <c r="U71" s="10">
        <v>8.7549553902752458E-2</v>
      </c>
      <c r="V71" s="10">
        <v>0.13996353763244257</v>
      </c>
      <c r="W71" s="10">
        <v>0.16408049301484401</v>
      </c>
      <c r="X71" s="10">
        <v>0.14972686275640418</v>
      </c>
      <c r="Y71" s="10">
        <v>0.1463085242518728</v>
      </c>
      <c r="Z71" s="10">
        <v>0.15374768661164634</v>
      </c>
      <c r="AA71" s="10">
        <v>0.16100337430944414</v>
      </c>
      <c r="AB71" s="10">
        <v>8.5169521423346065E-2</v>
      </c>
      <c r="AC71" s="10">
        <v>0.14462106218700971</v>
      </c>
      <c r="AD71" s="10">
        <v>0.15927880292158872</v>
      </c>
      <c r="AE71" s="10">
        <v>0.15323481470929368</v>
      </c>
      <c r="AF71" s="10">
        <v>0.13729451948603222</v>
      </c>
      <c r="AG71" s="10">
        <v>0.15608969598895889</v>
      </c>
      <c r="AH71" s="10">
        <v>0.163037646001296</v>
      </c>
      <c r="AI71" s="10">
        <v>8.6443458705820736E-2</v>
      </c>
      <c r="AJ71" s="10">
        <v>0</v>
      </c>
      <c r="AK71" s="10">
        <v>0</v>
      </c>
      <c r="AL71" s="10">
        <v>0</v>
      </c>
      <c r="AM71" s="6">
        <v>1</v>
      </c>
      <c r="AN71" s="8">
        <v>1</v>
      </c>
      <c r="AO71" s="8">
        <v>1</v>
      </c>
      <c r="AP71" s="8">
        <v>1</v>
      </c>
      <c r="AQ71" s="8">
        <v>0</v>
      </c>
      <c r="AR71" s="8">
        <v>0</v>
      </c>
      <c r="AS71" s="64">
        <v>4</v>
      </c>
      <c r="AT71" s="8">
        <v>0.82612175073079774</v>
      </c>
      <c r="AU71" s="8">
        <v>0.66722686455181934</v>
      </c>
      <c r="AV71" s="8">
        <v>0.62751353376720886</v>
      </c>
      <c r="AW71" s="8">
        <v>0.6149055477429235</v>
      </c>
      <c r="AX71" s="8">
        <v>0.70282123310374456</v>
      </c>
      <c r="AY71" s="8">
        <v>1.0914184854012434</v>
      </c>
      <c r="AZ71" s="8">
        <v>1.469992584702263</v>
      </c>
      <c r="BA71" s="8">
        <v>0.73600121077039027</v>
      </c>
      <c r="BB71" s="8">
        <v>0.60435968859644829</v>
      </c>
      <c r="BC71" s="8">
        <v>0.55062471492813991</v>
      </c>
      <c r="BD71" s="8">
        <v>0.54082543606959266</v>
      </c>
      <c r="BE71" s="8">
        <v>0.74481551832586712</v>
      </c>
      <c r="BF71" s="8">
        <v>1.2332758227565859</v>
      </c>
      <c r="BG71" s="8">
        <v>1.5900976085529761</v>
      </c>
      <c r="BH71" s="8">
        <v>0.85662080697680731</v>
      </c>
      <c r="BI71" s="8">
        <v>0.66377921698950393</v>
      </c>
      <c r="BJ71" s="8">
        <v>0.59563738279234812</v>
      </c>
      <c r="BK71" s="8">
        <v>0.55295390311034676</v>
      </c>
      <c r="BL71" s="8">
        <v>0.67660118482184461</v>
      </c>
      <c r="BM71" s="8">
        <v>1.2297316191313614</v>
      </c>
      <c r="BN71" s="8">
        <v>1.4246758861777882</v>
      </c>
      <c r="BO71" s="8">
        <v>0.62850532031897322</v>
      </c>
      <c r="BP71" s="8">
        <v>0.50598649771877569</v>
      </c>
      <c r="BQ71" s="8">
        <v>0.46957365811125251</v>
      </c>
      <c r="BR71" s="8">
        <v>0.44816074866365441</v>
      </c>
      <c r="BS71" s="8">
        <v>0.58574908879982424</v>
      </c>
      <c r="BT71" s="8">
        <v>1.0893983647117331</v>
      </c>
      <c r="BU71" s="8">
        <v>1.272626321675786</v>
      </c>
      <c r="BV71" s="8">
        <v>0.55084739929956739</v>
      </c>
      <c r="BW71" s="8">
        <v>0.44915260070043256</v>
      </c>
      <c r="BX71" s="8">
        <v>0</v>
      </c>
      <c r="BY71" s="8">
        <v>6</v>
      </c>
      <c r="BZ71" s="8">
        <v>6</v>
      </c>
      <c r="CA71" s="8">
        <v>6</v>
      </c>
      <c r="CB71" s="8">
        <v>5</v>
      </c>
      <c r="CC71" s="8">
        <v>1</v>
      </c>
      <c r="CD71" s="8">
        <v>0</v>
      </c>
      <c r="CE71" s="8">
        <v>24</v>
      </c>
      <c r="CF71" s="9">
        <v>1.4974675853823896</v>
      </c>
      <c r="CG71" s="9">
        <v>1.2799432507477035</v>
      </c>
      <c r="CH71" s="9">
        <v>1.2020766089699404</v>
      </c>
      <c r="CI71" s="9">
        <v>1.1749121071118154</v>
      </c>
      <c r="CJ71" s="9">
        <v>1.3351095837599114</v>
      </c>
      <c r="CK71" s="9">
        <v>1.9664618084911925</v>
      </c>
      <c r="CL71" s="9">
        <v>2.5440290555370479</v>
      </c>
      <c r="CM71" s="9">
        <v>1.3612374428321989</v>
      </c>
      <c r="CN71" s="9">
        <v>1.1643454502433643</v>
      </c>
      <c r="CO71" s="9">
        <v>1.0543744766803635</v>
      </c>
      <c r="CP71" s="9">
        <v>1.0538878649146084</v>
      </c>
      <c r="CQ71" s="9">
        <v>1.4028051494687377</v>
      </c>
      <c r="CR71" s="9">
        <v>2.2256373810363481</v>
      </c>
      <c r="CS71" s="9">
        <v>2.7377122348243792</v>
      </c>
      <c r="CT71" s="9">
        <v>1.4248947480976537</v>
      </c>
      <c r="CU71" s="9">
        <v>1.1597493184990999</v>
      </c>
      <c r="CV71" s="9">
        <v>1.0431829369449264</v>
      </c>
      <c r="CW71" s="9">
        <v>0.97573937891739293</v>
      </c>
      <c r="CX71" s="9">
        <v>1.1686494638444134</v>
      </c>
      <c r="CY71" s="9">
        <v>2.0056008030064865</v>
      </c>
      <c r="CZ71" s="9">
        <v>2.2221833506900284</v>
      </c>
      <c r="DA71" s="9">
        <v>1.1502295746973668</v>
      </c>
      <c r="DB71" s="9">
        <v>0.96885719927162983</v>
      </c>
      <c r="DC71" s="9">
        <v>0.9045526676872977</v>
      </c>
      <c r="DD71" s="9">
        <v>0.85435171734787929</v>
      </c>
      <c r="DE71" s="9">
        <v>1.0932882380686777</v>
      </c>
      <c r="DF71" s="9">
        <v>1.9060750295400688</v>
      </c>
      <c r="DG71" s="9">
        <v>2.1226455733870786</v>
      </c>
      <c r="DH71" s="9">
        <v>1.1016947985991348</v>
      </c>
      <c r="DI71" s="9">
        <v>0.89830520140086512</v>
      </c>
      <c r="DJ71" s="9"/>
      <c r="DK71" s="9">
        <v>11</v>
      </c>
      <c r="DL71" s="9">
        <v>11</v>
      </c>
      <c r="DM71" s="9">
        <v>10</v>
      </c>
      <c r="DN71" s="9">
        <v>9</v>
      </c>
      <c r="DO71" s="9">
        <v>2</v>
      </c>
      <c r="DP71" s="9"/>
      <c r="DQ71" s="9">
        <v>43</v>
      </c>
      <c r="DR71" s="8">
        <f>+SUM(Tabla2[[#This Row],[1 gral]:[1 gral]])</f>
        <v>1.4974675853823896</v>
      </c>
      <c r="DS71" s="8">
        <f>+SUM(Tabla2[[#This Row],[1 temm]:[1 temm]])</f>
        <v>0.82612175073079774</v>
      </c>
      <c r="DT71" s="8">
        <f>+SUM(Tabla2[[#This Row],[1 porta]:[1 porta]])</f>
        <v>0.12059800083105997</v>
      </c>
      <c r="DU71" s="8">
        <f>+Tabla2[[#This Row],[GRAL]]-(Tabla2[[#This Row],[TEMM14]]+Tabla2[[#This Row],[PORTA15]])</f>
        <v>0.55074783382053183</v>
      </c>
    </row>
    <row r="72" spans="1:125" hidden="1" x14ac:dyDescent="0.2">
      <c r="A72" s="84" t="s">
        <v>455</v>
      </c>
      <c r="B72" s="84" t="s">
        <v>483</v>
      </c>
      <c r="C72" s="11" t="s">
        <v>450</v>
      </c>
      <c r="D72" s="11">
        <v>2092781</v>
      </c>
      <c r="E72" s="11" t="s">
        <v>426</v>
      </c>
      <c r="F72" s="11" t="s">
        <v>474</v>
      </c>
      <c r="G72" s="43" t="s">
        <v>281</v>
      </c>
      <c r="H72" s="10">
        <v>0.12059800083105997</v>
      </c>
      <c r="I72" s="10">
        <v>0.16789847649467127</v>
      </c>
      <c r="J72" s="10">
        <v>0.1562207193579257</v>
      </c>
      <c r="K72" s="10">
        <v>0.15006952754027642</v>
      </c>
      <c r="L72" s="10">
        <v>0.16374086192033718</v>
      </c>
      <c r="M72" s="10">
        <v>0.14743099948912008</v>
      </c>
      <c r="N72" s="10">
        <v>9.4041414366609274E-2</v>
      </c>
      <c r="O72" s="10">
        <v>0.13456875821488182</v>
      </c>
      <c r="P72" s="10">
        <v>0.15707930258261715</v>
      </c>
      <c r="Q72" s="10">
        <v>0.1366666184667969</v>
      </c>
      <c r="R72" s="10">
        <v>0.15251213813195408</v>
      </c>
      <c r="S72" s="10">
        <v>0.16144595225895933</v>
      </c>
      <c r="T72" s="10">
        <v>0.17017767644203829</v>
      </c>
      <c r="U72" s="10">
        <v>8.7549553902752458E-2</v>
      </c>
      <c r="V72" s="10">
        <v>0.13996353763244257</v>
      </c>
      <c r="W72" s="10">
        <v>0.16408049301484401</v>
      </c>
      <c r="X72" s="10">
        <v>0.14972686275640418</v>
      </c>
      <c r="Y72" s="10">
        <v>0.1463085242518728</v>
      </c>
      <c r="Z72" s="10">
        <v>0.15374768661164634</v>
      </c>
      <c r="AA72" s="10">
        <v>0.16100337430944414</v>
      </c>
      <c r="AB72" s="10">
        <v>8.5169521423346065E-2</v>
      </c>
      <c r="AC72" s="10">
        <v>0.14462106218700971</v>
      </c>
      <c r="AD72" s="10">
        <v>0.15927880292158872</v>
      </c>
      <c r="AE72" s="10">
        <v>0.15323481470929368</v>
      </c>
      <c r="AF72" s="10">
        <v>0.13729451948603222</v>
      </c>
      <c r="AG72" s="10">
        <v>0.15608969598895889</v>
      </c>
      <c r="AH72" s="10">
        <v>0.163037646001296</v>
      </c>
      <c r="AI72" s="10">
        <v>8.6443458705820736E-2</v>
      </c>
      <c r="AJ72" s="10">
        <v>0</v>
      </c>
      <c r="AK72" s="10">
        <v>0</v>
      </c>
      <c r="AL72" s="10">
        <v>0</v>
      </c>
      <c r="AM72" s="6">
        <v>1</v>
      </c>
      <c r="AN72" s="8">
        <v>1</v>
      </c>
      <c r="AO72" s="8">
        <v>1</v>
      </c>
      <c r="AP72" s="8">
        <v>1</v>
      </c>
      <c r="AQ72" s="8">
        <v>0</v>
      </c>
      <c r="AR72" s="8">
        <v>0</v>
      </c>
      <c r="AS72" s="64">
        <v>4</v>
      </c>
      <c r="AT72" s="8">
        <v>0.55074783382053183</v>
      </c>
      <c r="AU72" s="8">
        <v>0.44481790970121293</v>
      </c>
      <c r="AV72" s="8">
        <v>0.41834235584480589</v>
      </c>
      <c r="AW72" s="8">
        <v>0.40993703182861563</v>
      </c>
      <c r="AX72" s="8">
        <v>0.46854748873582969</v>
      </c>
      <c r="AY72" s="8">
        <v>0.72761232360082895</v>
      </c>
      <c r="AZ72" s="8">
        <v>0.97999505646817542</v>
      </c>
      <c r="BA72" s="8">
        <v>0.49066747384692683</v>
      </c>
      <c r="BB72" s="8">
        <v>0.40290645906429884</v>
      </c>
      <c r="BC72" s="8">
        <v>0.36708314328542663</v>
      </c>
      <c r="BD72" s="8">
        <v>0.36055029071306177</v>
      </c>
      <c r="BE72" s="8">
        <v>0.49654367888391138</v>
      </c>
      <c r="BF72" s="8">
        <v>0.82218388183772395</v>
      </c>
      <c r="BG72" s="8">
        <v>1.0600650723686507</v>
      </c>
      <c r="BH72" s="8">
        <v>0.57108053798453817</v>
      </c>
      <c r="BI72" s="8">
        <v>0.44251947799300262</v>
      </c>
      <c r="BJ72" s="8">
        <v>0.39709158852823206</v>
      </c>
      <c r="BK72" s="8">
        <v>0.36863593540689782</v>
      </c>
      <c r="BL72" s="8">
        <v>0.45106745654789643</v>
      </c>
      <c r="BM72" s="8">
        <v>0.81982107942090765</v>
      </c>
      <c r="BN72" s="8">
        <v>0.94978392411852541</v>
      </c>
      <c r="BO72" s="8">
        <v>0.50280425625517855</v>
      </c>
      <c r="BP72" s="8">
        <v>0.40478919817502057</v>
      </c>
      <c r="BQ72" s="8">
        <v>0.37565892648900201</v>
      </c>
      <c r="BR72" s="8">
        <v>0.35852859893092354</v>
      </c>
      <c r="BS72" s="8">
        <v>0.46859927103985943</v>
      </c>
      <c r="BT72" s="8">
        <v>0.87151869176938646</v>
      </c>
      <c r="BU72" s="8">
        <v>1.0181010573406288</v>
      </c>
      <c r="BV72" s="8">
        <v>1.1016947985991348</v>
      </c>
      <c r="BW72" s="8">
        <v>0.89830520140086512</v>
      </c>
      <c r="BX72" s="8">
        <v>0</v>
      </c>
      <c r="BY72" s="8">
        <v>4</v>
      </c>
      <c r="BZ72" s="8">
        <v>4</v>
      </c>
      <c r="CA72" s="8">
        <v>4</v>
      </c>
      <c r="CB72" s="8">
        <v>4</v>
      </c>
      <c r="CC72" s="8">
        <v>2</v>
      </c>
      <c r="CD72" s="8">
        <v>0</v>
      </c>
      <c r="CE72" s="8">
        <v>18</v>
      </c>
      <c r="CF72" s="9">
        <v>1.2220936684721235</v>
      </c>
      <c r="CG72" s="9">
        <v>1.057534295897097</v>
      </c>
      <c r="CH72" s="9">
        <v>0.99290543104753737</v>
      </c>
      <c r="CI72" s="9">
        <v>0.96994359119750773</v>
      </c>
      <c r="CJ72" s="9">
        <v>1.1008358393919966</v>
      </c>
      <c r="CK72" s="9">
        <v>1.602655646690778</v>
      </c>
      <c r="CL72" s="9">
        <v>2.0540315273029601</v>
      </c>
      <c r="CM72" s="9">
        <v>1.1159037059087356</v>
      </c>
      <c r="CN72" s="9">
        <v>0.96289222071121472</v>
      </c>
      <c r="CO72" s="9">
        <v>0.87083290503765021</v>
      </c>
      <c r="CP72" s="9">
        <v>0.87361271955807762</v>
      </c>
      <c r="CQ72" s="9">
        <v>1.1545333100267821</v>
      </c>
      <c r="CR72" s="9">
        <v>1.8145454401174863</v>
      </c>
      <c r="CS72" s="9">
        <v>2.207679698640054</v>
      </c>
      <c r="CT72" s="9">
        <v>1.282124613601519</v>
      </c>
      <c r="CU72" s="9">
        <v>1.0491194490008493</v>
      </c>
      <c r="CV72" s="9">
        <v>0.94391003981286836</v>
      </c>
      <c r="CW72" s="9">
        <v>0.88358039506566843</v>
      </c>
      <c r="CX72" s="9">
        <v>1.0558825997074393</v>
      </c>
      <c r="CY72" s="9">
        <v>1.8006455331512594</v>
      </c>
      <c r="CZ72" s="9">
        <v>1.9847373696603969</v>
      </c>
      <c r="DA72" s="9">
        <v>1.150229574697367</v>
      </c>
      <c r="DB72" s="9">
        <v>0.96885719927162983</v>
      </c>
      <c r="DC72" s="9">
        <v>0.9045526676872977</v>
      </c>
      <c r="DD72" s="9">
        <v>0.85435171734787929</v>
      </c>
      <c r="DE72" s="9">
        <v>1.0932882380686777</v>
      </c>
      <c r="DF72" s="9">
        <v>1.9060750295400688</v>
      </c>
      <c r="DG72" s="9">
        <v>2.1226455733870786</v>
      </c>
      <c r="DH72" s="9">
        <v>1.6525421978987023</v>
      </c>
      <c r="DI72" s="9">
        <v>1.3474578021012977</v>
      </c>
      <c r="DJ72" s="9"/>
      <c r="DK72" s="9">
        <v>9</v>
      </c>
      <c r="DL72" s="9">
        <v>9</v>
      </c>
      <c r="DM72" s="9">
        <v>9</v>
      </c>
      <c r="DN72" s="9">
        <v>9</v>
      </c>
      <c r="DO72" s="9">
        <v>3</v>
      </c>
      <c r="DP72" s="9"/>
      <c r="DQ72" s="9">
        <v>39</v>
      </c>
      <c r="DR72" s="8">
        <f>+SUM(Tabla2[[#This Row],[1 gral]:[1 gral]])</f>
        <v>1.2220936684721235</v>
      </c>
      <c r="DS72" s="8">
        <f>+SUM(Tabla2[[#This Row],[1 temm]:[1 temm]])</f>
        <v>0.55074783382053183</v>
      </c>
      <c r="DT72" s="8">
        <f>+SUM(Tabla2[[#This Row],[1 porta]:[1 porta]])</f>
        <v>0.12059800083105997</v>
      </c>
      <c r="DU72" s="8">
        <f>+Tabla2[[#This Row],[GRAL]]-(Tabla2[[#This Row],[TEMM14]]+Tabla2[[#This Row],[PORTA15]])</f>
        <v>0.55074783382053172</v>
      </c>
    </row>
    <row r="73" spans="1:125" hidden="1" x14ac:dyDescent="0.2">
      <c r="A73" s="84" t="s">
        <v>457</v>
      </c>
      <c r="B73" s="84" t="s">
        <v>483</v>
      </c>
      <c r="C73" s="11" t="s">
        <v>453</v>
      </c>
      <c r="D73" s="11">
        <v>2092784</v>
      </c>
      <c r="E73" s="11" t="s">
        <v>427</v>
      </c>
      <c r="F73" s="11" t="s">
        <v>470</v>
      </c>
      <c r="G73" s="43" t="s">
        <v>281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1.4718202099374107</v>
      </c>
      <c r="AK73" s="10">
        <v>1.5281797900625889</v>
      </c>
      <c r="AL73" s="10">
        <v>0</v>
      </c>
      <c r="AM73" s="6">
        <v>0</v>
      </c>
      <c r="AN73" s="8">
        <v>0</v>
      </c>
      <c r="AO73" s="8">
        <v>0</v>
      </c>
      <c r="AP73" s="8">
        <v>0</v>
      </c>
      <c r="AQ73" s="8">
        <v>3</v>
      </c>
      <c r="AR73" s="8">
        <v>0</v>
      </c>
      <c r="AS73" s="64">
        <v>3</v>
      </c>
      <c r="AT73" s="8">
        <v>0.13768695845513296</v>
      </c>
      <c r="AU73" s="8">
        <v>0.11120447742530323</v>
      </c>
      <c r="AV73" s="8">
        <v>0.10458558896120147</v>
      </c>
      <c r="AW73" s="8">
        <v>0.10248425795715391</v>
      </c>
      <c r="AX73" s="8">
        <v>0.11713687218395742</v>
      </c>
      <c r="AY73" s="8">
        <v>0.18190308090020724</v>
      </c>
      <c r="AZ73" s="8">
        <v>0.24499876411704385</v>
      </c>
      <c r="BA73" s="8">
        <v>0.12266686846173171</v>
      </c>
      <c r="BB73" s="8">
        <v>0.10072661476607471</v>
      </c>
      <c r="BC73" s="8">
        <v>9.1770785821356657E-2</v>
      </c>
      <c r="BD73" s="8">
        <v>9.0137572678265443E-2</v>
      </c>
      <c r="BE73" s="8">
        <v>0.12413591972097784</v>
      </c>
      <c r="BF73" s="8">
        <v>0.20554597045943099</v>
      </c>
      <c r="BG73" s="8">
        <v>0.26501626809216267</v>
      </c>
      <c r="BH73" s="8">
        <v>0.14277013449613454</v>
      </c>
      <c r="BI73" s="8">
        <v>0.11062986949825065</v>
      </c>
      <c r="BJ73" s="8">
        <v>9.9272897132058016E-2</v>
      </c>
      <c r="BK73" s="8">
        <v>9.2158983851724455E-2</v>
      </c>
      <c r="BL73" s="8">
        <v>0.11276686413697411</v>
      </c>
      <c r="BM73" s="8">
        <v>0.20495526985522691</v>
      </c>
      <c r="BN73" s="8">
        <v>0.23744598102963135</v>
      </c>
      <c r="BO73" s="8">
        <v>0.12570106406379464</v>
      </c>
      <c r="BP73" s="8">
        <v>0.10119729954375514</v>
      </c>
      <c r="BQ73" s="8">
        <v>9.3914731622250502E-2</v>
      </c>
      <c r="BR73" s="8">
        <v>8.9632149732730884E-2</v>
      </c>
      <c r="BS73" s="8">
        <v>0.11714981775996486</v>
      </c>
      <c r="BT73" s="8">
        <v>0.21787967294234661</v>
      </c>
      <c r="BU73" s="8">
        <v>0.25452526433515721</v>
      </c>
      <c r="BV73" s="8">
        <v>1.5320608725911744</v>
      </c>
      <c r="BW73" s="8">
        <v>1.4679391274088252</v>
      </c>
      <c r="BX73" s="8">
        <v>0</v>
      </c>
      <c r="BY73" s="8">
        <v>1</v>
      </c>
      <c r="BZ73" s="8">
        <v>1</v>
      </c>
      <c r="CA73" s="8">
        <v>1</v>
      </c>
      <c r="CB73" s="8">
        <v>1</v>
      </c>
      <c r="CC73" s="8">
        <v>3</v>
      </c>
      <c r="CD73" s="8">
        <v>0</v>
      </c>
      <c r="CE73" s="8">
        <v>7</v>
      </c>
      <c r="CF73" s="9">
        <v>1.1014956676410637</v>
      </c>
      <c r="CG73" s="9">
        <v>0.88963581940242586</v>
      </c>
      <c r="CH73" s="9">
        <v>0.83668471168961178</v>
      </c>
      <c r="CI73" s="9">
        <v>0.81987406365723126</v>
      </c>
      <c r="CJ73" s="9">
        <v>0.93709497747165937</v>
      </c>
      <c r="CK73" s="9">
        <v>1.4552246472016579</v>
      </c>
      <c r="CL73" s="9">
        <v>1.9599901129363508</v>
      </c>
      <c r="CM73" s="9">
        <v>0.98133494769385365</v>
      </c>
      <c r="CN73" s="9">
        <v>0.80581291812859768</v>
      </c>
      <c r="CO73" s="9">
        <v>0.73416628657085325</v>
      </c>
      <c r="CP73" s="9">
        <v>0.72110058142612354</v>
      </c>
      <c r="CQ73" s="9">
        <v>0.99308735776782275</v>
      </c>
      <c r="CR73" s="9">
        <v>1.6443677636754479</v>
      </c>
      <c r="CS73" s="9">
        <v>2.1201301447373013</v>
      </c>
      <c r="CT73" s="9">
        <v>1.1421610759690763</v>
      </c>
      <c r="CU73" s="9">
        <v>0.88503895598600524</v>
      </c>
      <c r="CV73" s="9">
        <v>0.79418317705646413</v>
      </c>
      <c r="CW73" s="9">
        <v>0.73727187081379564</v>
      </c>
      <c r="CX73" s="9">
        <v>0.90213491309579286</v>
      </c>
      <c r="CY73" s="9">
        <v>1.6396421588418153</v>
      </c>
      <c r="CZ73" s="9">
        <v>1.8995678482370508</v>
      </c>
      <c r="DA73" s="9">
        <v>1.0056085125103571</v>
      </c>
      <c r="DB73" s="9">
        <v>0.80957839635004114</v>
      </c>
      <c r="DC73" s="9">
        <v>0.75131785297800402</v>
      </c>
      <c r="DD73" s="9">
        <v>0.71705719786184707</v>
      </c>
      <c r="DE73" s="9">
        <v>0.93719854207971887</v>
      </c>
      <c r="DF73" s="9">
        <v>1.7430373835387729</v>
      </c>
      <c r="DG73" s="9">
        <v>2.0362021146812577</v>
      </c>
      <c r="DH73" s="9">
        <v>3.124362407836113</v>
      </c>
      <c r="DI73" s="9">
        <v>2.8756375921638866</v>
      </c>
      <c r="DJ73" s="9"/>
      <c r="DK73" s="9">
        <v>8</v>
      </c>
      <c r="DL73" s="9">
        <v>8</v>
      </c>
      <c r="DM73" s="9">
        <v>8</v>
      </c>
      <c r="DN73" s="9">
        <v>8</v>
      </c>
      <c r="DO73" s="9">
        <v>6</v>
      </c>
      <c r="DP73" s="9"/>
      <c r="DQ73" s="9">
        <v>38</v>
      </c>
      <c r="DR73" s="8">
        <f>+SUM(Tabla2[[#This Row],[1 gral]:[1 gral]])</f>
        <v>1.1014956676410637</v>
      </c>
      <c r="DS73" s="8">
        <f>+SUM(Tabla2[[#This Row],[1 temm]:[1 temm]])</f>
        <v>0.13768695845513296</v>
      </c>
      <c r="DT73" s="8">
        <f>+SUM(Tabla2[[#This Row],[1 porta]:[1 porta]])</f>
        <v>0</v>
      </c>
      <c r="DU73" s="8">
        <f>+Tabla2[[#This Row],[GRAL]]-(Tabla2[[#This Row],[TEMM14]]+Tabla2[[#This Row],[PORTA15]])</f>
        <v>0.96380870918593065</v>
      </c>
    </row>
    <row r="74" spans="1:125" hidden="1" x14ac:dyDescent="0.2">
      <c r="A74" s="84" t="s">
        <v>458</v>
      </c>
      <c r="B74" s="84" t="s">
        <v>483</v>
      </c>
      <c r="C74" s="11" t="s">
        <v>452</v>
      </c>
      <c r="D74" s="11">
        <v>2092790</v>
      </c>
      <c r="E74" s="11" t="s">
        <v>428</v>
      </c>
      <c r="F74" s="11" t="s">
        <v>473</v>
      </c>
      <c r="G74" s="43" t="s">
        <v>280</v>
      </c>
      <c r="H74" s="10">
        <v>0.12059800083105997</v>
      </c>
      <c r="I74" s="10">
        <v>0.16789847649467127</v>
      </c>
      <c r="J74" s="10">
        <v>0.1562207193579257</v>
      </c>
      <c r="K74" s="10">
        <v>0.15006952754027642</v>
      </c>
      <c r="L74" s="10">
        <v>0.16374086192033718</v>
      </c>
      <c r="M74" s="10">
        <v>0.14743099948912008</v>
      </c>
      <c r="N74" s="10">
        <v>9.4041414366609274E-2</v>
      </c>
      <c r="O74" s="10">
        <v>0.13456875821488182</v>
      </c>
      <c r="P74" s="10">
        <v>0.15707930258261715</v>
      </c>
      <c r="Q74" s="10">
        <v>0.1366666184667969</v>
      </c>
      <c r="R74" s="10">
        <v>0.15251213813195408</v>
      </c>
      <c r="S74" s="10">
        <v>0.16144595225895933</v>
      </c>
      <c r="T74" s="10">
        <v>0.17017767644203829</v>
      </c>
      <c r="U74" s="10">
        <v>8.7549553902752458E-2</v>
      </c>
      <c r="V74" s="10">
        <v>0.13996353763244257</v>
      </c>
      <c r="W74" s="10">
        <v>0.16408049301484401</v>
      </c>
      <c r="X74" s="10">
        <v>0.14972686275640418</v>
      </c>
      <c r="Y74" s="10">
        <v>0.1463085242518728</v>
      </c>
      <c r="Z74" s="10">
        <v>0.15374768661164634</v>
      </c>
      <c r="AA74" s="10">
        <v>0.16100337430944414</v>
      </c>
      <c r="AB74" s="10">
        <v>8.5169521423346065E-2</v>
      </c>
      <c r="AC74" s="10">
        <v>0.14462106218700971</v>
      </c>
      <c r="AD74" s="10">
        <v>0.15927880292158872</v>
      </c>
      <c r="AE74" s="10">
        <v>0.15323481470929368</v>
      </c>
      <c r="AF74" s="10">
        <v>0.13729451948603222</v>
      </c>
      <c r="AG74" s="10">
        <v>0.15608969598895889</v>
      </c>
      <c r="AH74" s="10">
        <v>0.163037646001296</v>
      </c>
      <c r="AI74" s="10">
        <v>8.6443458705820736E-2</v>
      </c>
      <c r="AJ74" s="10">
        <v>0</v>
      </c>
      <c r="AK74" s="10">
        <v>0</v>
      </c>
      <c r="AL74" s="10">
        <v>0</v>
      </c>
      <c r="AM74" s="6">
        <v>1</v>
      </c>
      <c r="AN74" s="8">
        <v>1</v>
      </c>
      <c r="AO74" s="8">
        <v>1</v>
      </c>
      <c r="AP74" s="8">
        <v>1</v>
      </c>
      <c r="AQ74" s="8">
        <v>0</v>
      </c>
      <c r="AR74" s="8">
        <v>0</v>
      </c>
      <c r="AS74" s="64">
        <v>4</v>
      </c>
      <c r="AT74" s="8">
        <v>3.8552348367437226</v>
      </c>
      <c r="AU74" s="8">
        <v>3.1137253679084904</v>
      </c>
      <c r="AV74" s="8">
        <v>2.9283964909136411</v>
      </c>
      <c r="AW74" s="8">
        <v>2.8695592228003095</v>
      </c>
      <c r="AX74" s="8">
        <v>3.2798324211508079</v>
      </c>
      <c r="AY74" s="8">
        <v>5.0932862652058031</v>
      </c>
      <c r="AZ74" s="8">
        <v>6.8599653952772277</v>
      </c>
      <c r="BA74" s="8">
        <v>3.4346723169284878</v>
      </c>
      <c r="BB74" s="8">
        <v>2.8203452134500919</v>
      </c>
      <c r="BC74" s="8">
        <v>2.5695820029979863</v>
      </c>
      <c r="BD74" s="8">
        <v>2.5238520349914326</v>
      </c>
      <c r="BE74" s="8">
        <v>3.4758057521873797</v>
      </c>
      <c r="BF74" s="8">
        <v>5.755287172864068</v>
      </c>
      <c r="BG74" s="8">
        <v>7.4204555065805549</v>
      </c>
      <c r="BH74" s="8">
        <v>3.7120234968994983</v>
      </c>
      <c r="BI74" s="8">
        <v>2.8763766069545169</v>
      </c>
      <c r="BJ74" s="8">
        <v>2.5810953254335085</v>
      </c>
      <c r="BK74" s="8">
        <v>2.396133580144836</v>
      </c>
      <c r="BL74" s="8">
        <v>2.9319384675613267</v>
      </c>
      <c r="BM74" s="8">
        <v>5.3288370162358998</v>
      </c>
      <c r="BN74" s="8">
        <v>6.1735955067704156</v>
      </c>
      <c r="BO74" s="8">
        <v>3.2682276656586606</v>
      </c>
      <c r="BP74" s="8">
        <v>2.6311297881376339</v>
      </c>
      <c r="BQ74" s="8">
        <v>2.4417830221785133</v>
      </c>
      <c r="BR74" s="8">
        <v>2.330435893051003</v>
      </c>
      <c r="BS74" s="8">
        <v>3.0458952617590862</v>
      </c>
      <c r="BT74" s="8">
        <v>5.6648714965010116</v>
      </c>
      <c r="BU74" s="8">
        <v>6.6176568727140879</v>
      </c>
      <c r="BV74" s="8">
        <v>3.8559317950969718</v>
      </c>
      <c r="BW74" s="8">
        <v>3.1440682049030277</v>
      </c>
      <c r="BX74" s="8">
        <v>0</v>
      </c>
      <c r="BY74" s="8">
        <v>28</v>
      </c>
      <c r="BZ74" s="8">
        <v>28</v>
      </c>
      <c r="CA74" s="8">
        <v>26</v>
      </c>
      <c r="CB74" s="8">
        <v>26</v>
      </c>
      <c r="CC74" s="8">
        <v>7</v>
      </c>
      <c r="CD74" s="8">
        <v>0</v>
      </c>
      <c r="CE74" s="8">
        <v>115</v>
      </c>
      <c r="CF74" s="9">
        <v>4.8019545883055805</v>
      </c>
      <c r="CG74" s="9">
        <v>3.9488507089549811</v>
      </c>
      <c r="CH74" s="9">
        <v>3.7121307440387756</v>
      </c>
      <c r="CI74" s="9">
        <v>3.6345342980835094</v>
      </c>
      <c r="CJ74" s="9">
        <v>4.1463945161748894</v>
      </c>
      <c r="CK74" s="9">
        <v>6.3321357500961666</v>
      </c>
      <c r="CL74" s="9">
        <v>8.4239993943461009</v>
      </c>
      <c r="CM74" s="9">
        <v>4.30524228591376</v>
      </c>
      <c r="CN74" s="9">
        <v>3.5817842046291575</v>
      </c>
      <c r="CO74" s="9">
        <v>3.256873336392923</v>
      </c>
      <c r="CP74" s="9">
        <v>3.2171896091929795</v>
      </c>
      <c r="CQ74" s="9">
        <v>4.3820672227722062</v>
      </c>
      <c r="CR74" s="9">
        <v>7.1587406720626916</v>
      </c>
      <c r="CS74" s="9">
        <v>9.0981026690362832</v>
      </c>
      <c r="CT74" s="9">
        <v>4.7086078415087478</v>
      </c>
      <c r="CU74" s="9">
        <v>3.7042363169588648</v>
      </c>
      <c r="CV74" s="9">
        <v>3.3264595709822609</v>
      </c>
      <c r="CW74" s="9">
        <v>3.0953960075070555</v>
      </c>
      <c r="CX74" s="9">
        <v>3.7622873389948177</v>
      </c>
      <c r="CY74" s="9">
        <v>6.7195720096767051</v>
      </c>
      <c r="CZ74" s="9">
        <v>7.6834409143715501</v>
      </c>
      <c r="DA74" s="9">
        <v>4.0413540481646439</v>
      </c>
      <c r="DB74" s="9">
        <v>3.2963950887779983</v>
      </c>
      <c r="DC74" s="9">
        <v>3.0645914949990596</v>
      </c>
      <c r="DD74" s="9">
        <v>2.9158911612006895</v>
      </c>
      <c r="DE74" s="9">
        <v>3.7877340465478695</v>
      </c>
      <c r="DF74" s="9">
        <v>6.9173075072140406</v>
      </c>
      <c r="DG74" s="9">
        <v>7.9767266530956951</v>
      </c>
      <c r="DH74" s="9">
        <v>4.4067791943965391</v>
      </c>
      <c r="DI74" s="9">
        <v>3.5932208056034605</v>
      </c>
      <c r="DJ74" s="9"/>
      <c r="DK74" s="9">
        <v>35</v>
      </c>
      <c r="DL74" s="9">
        <v>35</v>
      </c>
      <c r="DM74" s="9">
        <v>33</v>
      </c>
      <c r="DN74" s="9">
        <v>32</v>
      </c>
      <c r="DO74" s="9">
        <v>8</v>
      </c>
      <c r="DP74" s="9"/>
      <c r="DQ74" s="9">
        <v>143</v>
      </c>
      <c r="DR74" s="8">
        <f>+SUM(Tabla2[[#This Row],[1 gral]:[1 gral]])</f>
        <v>4.8019545883055805</v>
      </c>
      <c r="DS74" s="8">
        <f>+SUM(Tabla2[[#This Row],[1 temm]:[1 temm]])</f>
        <v>3.8552348367437226</v>
      </c>
      <c r="DT74" s="8">
        <f>+SUM(Tabla2[[#This Row],[1 porta]:[1 porta]])</f>
        <v>0.12059800083105997</v>
      </c>
      <c r="DU74" s="8">
        <f>+Tabla2[[#This Row],[GRAL]]-(Tabla2[[#This Row],[TEMM14]]+Tabla2[[#This Row],[PORTA15]])</f>
        <v>0.82612175073079808</v>
      </c>
    </row>
    <row r="75" spans="1:125" hidden="1" x14ac:dyDescent="0.2">
      <c r="A75" s="84" t="s">
        <v>458</v>
      </c>
      <c r="B75" s="84" t="s">
        <v>483</v>
      </c>
      <c r="C75" s="11" t="s">
        <v>452</v>
      </c>
      <c r="D75" s="11">
        <v>2092797</v>
      </c>
      <c r="E75" s="11" t="s">
        <v>429</v>
      </c>
      <c r="F75" s="11" t="s">
        <v>475</v>
      </c>
      <c r="G75" s="43" t="s">
        <v>280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0.98121347329160713</v>
      </c>
      <c r="AK75" s="10">
        <v>1.0187865267083926</v>
      </c>
      <c r="AL75" s="10">
        <v>0</v>
      </c>
      <c r="AM75" s="6">
        <v>0</v>
      </c>
      <c r="AN75" s="8">
        <v>0</v>
      </c>
      <c r="AO75" s="8">
        <v>0</v>
      </c>
      <c r="AP75" s="8">
        <v>0</v>
      </c>
      <c r="AQ75" s="8">
        <v>2</v>
      </c>
      <c r="AR75" s="8">
        <v>0</v>
      </c>
      <c r="AS75" s="64">
        <v>2</v>
      </c>
      <c r="AT75" s="8">
        <v>2.6160522106475264</v>
      </c>
      <c r="AU75" s="8">
        <v>2.1128850710807616</v>
      </c>
      <c r="AV75" s="8">
        <v>1.9871261902628279</v>
      </c>
      <c r="AW75" s="8">
        <v>1.9472009011859241</v>
      </c>
      <c r="AX75" s="8">
        <v>2.2256005714951912</v>
      </c>
      <c r="AY75" s="8">
        <v>3.4561585371039376</v>
      </c>
      <c r="AZ75" s="8">
        <v>4.6549765182238332</v>
      </c>
      <c r="BA75" s="8">
        <v>2.3306705007729023</v>
      </c>
      <c r="BB75" s="8">
        <v>1.9138056805554196</v>
      </c>
      <c r="BC75" s="8">
        <v>1.7436449306057764</v>
      </c>
      <c r="BD75" s="8">
        <v>1.7126138808870435</v>
      </c>
      <c r="BE75" s="8">
        <v>2.3585824746985788</v>
      </c>
      <c r="BF75" s="8">
        <v>3.905373438729189</v>
      </c>
      <c r="BG75" s="8">
        <v>5.0353090937510903</v>
      </c>
      <c r="BH75" s="8">
        <v>2.5698624209304217</v>
      </c>
      <c r="BI75" s="8">
        <v>1.9913376509685117</v>
      </c>
      <c r="BJ75" s="8">
        <v>1.7869121483770443</v>
      </c>
      <c r="BK75" s="8">
        <v>1.6588617093310403</v>
      </c>
      <c r="BL75" s="8">
        <v>2.0298035544655337</v>
      </c>
      <c r="BM75" s="8">
        <v>3.6891948573940843</v>
      </c>
      <c r="BN75" s="8">
        <v>4.2740276585333641</v>
      </c>
      <c r="BO75" s="8">
        <v>2.2626191531483033</v>
      </c>
      <c r="BP75" s="8">
        <v>1.8215513917875925</v>
      </c>
      <c r="BQ75" s="8">
        <v>1.690465169200509</v>
      </c>
      <c r="BR75" s="8">
        <v>1.613378695189156</v>
      </c>
      <c r="BS75" s="8">
        <v>2.1086967196793673</v>
      </c>
      <c r="BT75" s="8">
        <v>3.9218341129622392</v>
      </c>
      <c r="BU75" s="8">
        <v>4.5814547580328302</v>
      </c>
      <c r="BV75" s="8">
        <v>2.7542369964978368</v>
      </c>
      <c r="BW75" s="8">
        <v>2.2457630035021627</v>
      </c>
      <c r="BX75" s="8">
        <v>0</v>
      </c>
      <c r="BY75" s="8">
        <v>19</v>
      </c>
      <c r="BZ75" s="8">
        <v>19</v>
      </c>
      <c r="CA75" s="8">
        <v>18</v>
      </c>
      <c r="CB75" s="8">
        <v>18</v>
      </c>
      <c r="CC75" s="8">
        <v>5</v>
      </c>
      <c r="CD75" s="8">
        <v>0</v>
      </c>
      <c r="CE75" s="8">
        <v>79</v>
      </c>
      <c r="CF75" s="9">
        <v>3.992921795198856</v>
      </c>
      <c r="CG75" s="9">
        <v>3.224929845333794</v>
      </c>
      <c r="CH75" s="9">
        <v>3.0329820798748424</v>
      </c>
      <c r="CI75" s="9">
        <v>2.9720434807574634</v>
      </c>
      <c r="CJ75" s="9">
        <v>3.3969692933347657</v>
      </c>
      <c r="CK75" s="9">
        <v>5.2751893461060098</v>
      </c>
      <c r="CL75" s="9">
        <v>7.1049641593942718</v>
      </c>
      <c r="CM75" s="9">
        <v>3.5573391853902194</v>
      </c>
      <c r="CN75" s="9">
        <v>2.9210718282161667</v>
      </c>
      <c r="CO75" s="9">
        <v>2.6613527888193431</v>
      </c>
      <c r="CP75" s="9">
        <v>2.6139896076696978</v>
      </c>
      <c r="CQ75" s="9">
        <v>3.5999416719083572</v>
      </c>
      <c r="CR75" s="9">
        <v>5.9608331433234989</v>
      </c>
      <c r="CS75" s="9">
        <v>7.6854717746727168</v>
      </c>
      <c r="CT75" s="9">
        <v>3.8547936313956326</v>
      </c>
      <c r="CU75" s="9">
        <v>2.9870064764527675</v>
      </c>
      <c r="CV75" s="9">
        <v>2.6803682225655665</v>
      </c>
      <c r="CW75" s="9">
        <v>2.4882925639965605</v>
      </c>
      <c r="CX75" s="9">
        <v>3.0447053316983004</v>
      </c>
      <c r="CY75" s="9">
        <v>5.5337922860911259</v>
      </c>
      <c r="CZ75" s="9">
        <v>6.4110414878000466</v>
      </c>
      <c r="DA75" s="9">
        <v>3.3939287297224547</v>
      </c>
      <c r="DB75" s="9">
        <v>2.732327087681389</v>
      </c>
      <c r="DC75" s="9">
        <v>2.5356977538007635</v>
      </c>
      <c r="DD75" s="9">
        <v>2.420068042783734</v>
      </c>
      <c r="DE75" s="9">
        <v>3.1630450795190512</v>
      </c>
      <c r="DF75" s="9">
        <v>5.8827511694433587</v>
      </c>
      <c r="DG75" s="9">
        <v>6.8721821370492453</v>
      </c>
      <c r="DH75" s="9">
        <v>4.2862978690890117</v>
      </c>
      <c r="DI75" s="9">
        <v>3.7137021309109879</v>
      </c>
      <c r="DJ75" s="9"/>
      <c r="DK75" s="9">
        <v>29</v>
      </c>
      <c r="DL75" s="9">
        <v>29</v>
      </c>
      <c r="DM75" s="9">
        <v>27</v>
      </c>
      <c r="DN75" s="9">
        <v>27</v>
      </c>
      <c r="DO75" s="9">
        <v>8</v>
      </c>
      <c r="DP75" s="9"/>
      <c r="DQ75" s="9">
        <v>120</v>
      </c>
      <c r="DR75" s="8">
        <f>+SUM(Tabla2[[#This Row],[1 gral]:[1 gral]])</f>
        <v>3.992921795198856</v>
      </c>
      <c r="DS75" s="8">
        <f>+SUM(Tabla2[[#This Row],[1 temm]:[1 temm]])</f>
        <v>2.6160522106475264</v>
      </c>
      <c r="DT75" s="8">
        <f>+SUM(Tabla2[[#This Row],[1 porta]:[1 porta]])</f>
        <v>0</v>
      </c>
      <c r="DU75" s="8">
        <f>+Tabla2[[#This Row],[GRAL]]-(Tabla2[[#This Row],[TEMM14]]+Tabla2[[#This Row],[PORTA15]])</f>
        <v>1.3768695845513297</v>
      </c>
    </row>
    <row r="76" spans="1:125" hidden="1" x14ac:dyDescent="0.2">
      <c r="A76" s="84" t="s">
        <v>455</v>
      </c>
      <c r="B76" s="84" t="s">
        <v>483</v>
      </c>
      <c r="C76" s="11" t="s">
        <v>451</v>
      </c>
      <c r="D76" s="11">
        <v>2092923</v>
      </c>
      <c r="E76" s="11" t="s">
        <v>430</v>
      </c>
      <c r="F76" s="11" t="s">
        <v>476</v>
      </c>
      <c r="G76" s="43" t="s">
        <v>280</v>
      </c>
      <c r="H76" s="10">
        <v>0.12059800083105997</v>
      </c>
      <c r="I76" s="10">
        <v>0.16789847649467127</v>
      </c>
      <c r="J76" s="10">
        <v>0.1562207193579257</v>
      </c>
      <c r="K76" s="10">
        <v>0.15006952754027642</v>
      </c>
      <c r="L76" s="10">
        <v>0.16374086192033718</v>
      </c>
      <c r="M76" s="10">
        <v>0.14743099948912008</v>
      </c>
      <c r="N76" s="10">
        <v>9.4041414366609274E-2</v>
      </c>
      <c r="O76" s="10">
        <v>0.13456875821488182</v>
      </c>
      <c r="P76" s="10">
        <v>0.15707930258261715</v>
      </c>
      <c r="Q76" s="10">
        <v>0.1366666184667969</v>
      </c>
      <c r="R76" s="10">
        <v>0.15251213813195408</v>
      </c>
      <c r="S76" s="10">
        <v>0.16144595225895933</v>
      </c>
      <c r="T76" s="10">
        <v>0.17017767644203829</v>
      </c>
      <c r="U76" s="10">
        <v>8.7549553902752458E-2</v>
      </c>
      <c r="V76" s="10">
        <v>0.13996353763244257</v>
      </c>
      <c r="W76" s="10">
        <v>0.16408049301484401</v>
      </c>
      <c r="X76" s="10">
        <v>0.14972686275640418</v>
      </c>
      <c r="Y76" s="10">
        <v>0.1463085242518728</v>
      </c>
      <c r="Z76" s="10">
        <v>0.15374768661164634</v>
      </c>
      <c r="AA76" s="10">
        <v>0.16100337430944414</v>
      </c>
      <c r="AB76" s="10">
        <v>8.5169521423346065E-2</v>
      </c>
      <c r="AC76" s="10">
        <v>0.14462106218700971</v>
      </c>
      <c r="AD76" s="10">
        <v>0.15927880292158872</v>
      </c>
      <c r="AE76" s="10">
        <v>0.15323481470929368</v>
      </c>
      <c r="AF76" s="10">
        <v>0.13729451948603222</v>
      </c>
      <c r="AG76" s="10">
        <v>0.15608969598895889</v>
      </c>
      <c r="AH76" s="10">
        <v>0.163037646001296</v>
      </c>
      <c r="AI76" s="10">
        <v>8.6443458705820736E-2</v>
      </c>
      <c r="AJ76" s="10">
        <v>0</v>
      </c>
      <c r="AK76" s="10">
        <v>0</v>
      </c>
      <c r="AL76" s="10">
        <v>0</v>
      </c>
      <c r="AM76" s="6">
        <v>1</v>
      </c>
      <c r="AN76" s="8">
        <v>1</v>
      </c>
      <c r="AO76" s="8">
        <v>1</v>
      </c>
      <c r="AP76" s="8">
        <v>1</v>
      </c>
      <c r="AQ76" s="8">
        <v>0</v>
      </c>
      <c r="AR76" s="8">
        <v>0</v>
      </c>
      <c r="AS76" s="64">
        <v>4</v>
      </c>
      <c r="AT76" s="8">
        <v>0.96380870918593065</v>
      </c>
      <c r="AU76" s="8">
        <v>0.7784313419771226</v>
      </c>
      <c r="AV76" s="8">
        <v>0.73209912272841027</v>
      </c>
      <c r="AW76" s="8">
        <v>0.71738980570007738</v>
      </c>
      <c r="AX76" s="8">
        <v>0.81995810528770197</v>
      </c>
      <c r="AY76" s="8">
        <v>1.2733215663014508</v>
      </c>
      <c r="AZ76" s="8">
        <v>1.7149913488193069</v>
      </c>
      <c r="BA76" s="8">
        <v>0.85866807923212196</v>
      </c>
      <c r="BB76" s="8">
        <v>0.70508630336252298</v>
      </c>
      <c r="BC76" s="8">
        <v>0.64239550074949658</v>
      </c>
      <c r="BD76" s="8">
        <v>0.63096300874785816</v>
      </c>
      <c r="BE76" s="8">
        <v>0.86895143804684494</v>
      </c>
      <c r="BF76" s="8">
        <v>1.438821793216017</v>
      </c>
      <c r="BG76" s="8">
        <v>1.8551138766451387</v>
      </c>
      <c r="BH76" s="8">
        <v>0.85662080697680731</v>
      </c>
      <c r="BI76" s="8">
        <v>0.66377921698950393</v>
      </c>
      <c r="BJ76" s="8">
        <v>0.59563738279234812</v>
      </c>
      <c r="BK76" s="8">
        <v>0.55295390311034676</v>
      </c>
      <c r="BL76" s="8">
        <v>0.67660118482184461</v>
      </c>
      <c r="BM76" s="8">
        <v>1.2297316191313614</v>
      </c>
      <c r="BN76" s="8">
        <v>1.4246758861777882</v>
      </c>
      <c r="BO76" s="8">
        <v>0.75420638438276777</v>
      </c>
      <c r="BP76" s="8">
        <v>0.60718379726253091</v>
      </c>
      <c r="BQ76" s="8">
        <v>0.56348838973350301</v>
      </c>
      <c r="BR76" s="8">
        <v>0.53779289839638533</v>
      </c>
      <c r="BS76" s="8">
        <v>0.70289890655978915</v>
      </c>
      <c r="BT76" s="8">
        <v>1.3072780376540796</v>
      </c>
      <c r="BU76" s="8">
        <v>1.5271515860109433</v>
      </c>
      <c r="BV76" s="8">
        <v>0.55084739929956739</v>
      </c>
      <c r="BW76" s="8">
        <v>0.44915260070043256</v>
      </c>
      <c r="BX76" s="8">
        <v>0</v>
      </c>
      <c r="BY76" s="8">
        <v>7</v>
      </c>
      <c r="BZ76" s="8">
        <v>7</v>
      </c>
      <c r="CA76" s="8">
        <v>6</v>
      </c>
      <c r="CB76" s="8">
        <v>6</v>
      </c>
      <c r="CC76" s="8">
        <v>1</v>
      </c>
      <c r="CD76" s="8">
        <v>0</v>
      </c>
      <c r="CE76" s="8">
        <v>27</v>
      </c>
      <c r="CF76" s="9">
        <v>1.9105284607477881</v>
      </c>
      <c r="CG76" s="9">
        <v>1.6135566830236132</v>
      </c>
      <c r="CH76" s="9">
        <v>1.5158333758535449</v>
      </c>
      <c r="CI76" s="9">
        <v>1.4823648809832772</v>
      </c>
      <c r="CJ76" s="9">
        <v>1.6865202003117838</v>
      </c>
      <c r="CK76" s="9">
        <v>2.5121710511918143</v>
      </c>
      <c r="CL76" s="9">
        <v>3.2790253478881795</v>
      </c>
      <c r="CM76" s="9">
        <v>1.7292380482173941</v>
      </c>
      <c r="CN76" s="9">
        <v>1.4665252945415883</v>
      </c>
      <c r="CO76" s="9">
        <v>1.3296868341444332</v>
      </c>
      <c r="CP76" s="9">
        <v>1.3243005829494048</v>
      </c>
      <c r="CQ76" s="9">
        <v>1.7752129086316715</v>
      </c>
      <c r="CR76" s="9">
        <v>2.8422752924146413</v>
      </c>
      <c r="CS76" s="9">
        <v>3.5327610391008673</v>
      </c>
      <c r="CT76" s="9">
        <v>1.7104350170899227</v>
      </c>
      <c r="CU76" s="9">
        <v>1.3810090574956011</v>
      </c>
      <c r="CV76" s="9">
        <v>1.2417287312090424</v>
      </c>
      <c r="CW76" s="9">
        <v>1.1600573466208419</v>
      </c>
      <c r="CX76" s="9">
        <v>1.3941831921183616</v>
      </c>
      <c r="CY76" s="9">
        <v>2.4155113427169401</v>
      </c>
      <c r="CZ76" s="9">
        <v>2.6970753127492912</v>
      </c>
      <c r="DA76" s="9">
        <v>1.5273327668887506</v>
      </c>
      <c r="DB76" s="9">
        <v>1.2724490979028953</v>
      </c>
      <c r="DC76" s="9">
        <v>1.1862968625540491</v>
      </c>
      <c r="DD76" s="9">
        <v>1.1232481665460718</v>
      </c>
      <c r="DE76" s="9">
        <v>1.4447376913485723</v>
      </c>
      <c r="DF76" s="9">
        <v>2.559714048367109</v>
      </c>
      <c r="DG76" s="9">
        <v>2.88622136639255</v>
      </c>
      <c r="DH76" s="9">
        <v>1.1016947985991348</v>
      </c>
      <c r="DI76" s="9">
        <v>0.89830520140086512</v>
      </c>
      <c r="DJ76" s="9"/>
      <c r="DK76" s="9">
        <v>14</v>
      </c>
      <c r="DL76" s="9">
        <v>14</v>
      </c>
      <c r="DM76" s="9">
        <v>12</v>
      </c>
      <c r="DN76" s="9">
        <v>12</v>
      </c>
      <c r="DO76" s="9">
        <v>2</v>
      </c>
      <c r="DP76" s="9"/>
      <c r="DQ76" s="9">
        <v>54</v>
      </c>
      <c r="DR76" s="8">
        <f>+SUM(Tabla2[[#This Row],[1 gral]:[1 gral]])</f>
        <v>1.9105284607477881</v>
      </c>
      <c r="DS76" s="8">
        <f>+SUM(Tabla2[[#This Row],[1 temm]:[1 temm]])</f>
        <v>0.96380870918593065</v>
      </c>
      <c r="DT76" s="8">
        <f>+SUM(Tabla2[[#This Row],[1 porta]:[1 porta]])</f>
        <v>0.12059800083105997</v>
      </c>
      <c r="DU76" s="8">
        <f>+Tabla2[[#This Row],[GRAL]]-(Tabla2[[#This Row],[TEMM14]]+Tabla2[[#This Row],[PORTA15]])</f>
        <v>0.82612175073079763</v>
      </c>
    </row>
    <row r="77" spans="1:125" x14ac:dyDescent="0.2">
      <c r="A77" s="84" t="s">
        <v>99</v>
      </c>
      <c r="B77" s="84" t="s">
        <v>482</v>
      </c>
      <c r="C77" s="11" t="s">
        <v>127</v>
      </c>
      <c r="D77" s="11">
        <v>2092936</v>
      </c>
      <c r="E77" s="11" t="s">
        <v>252</v>
      </c>
      <c r="F77" s="11" t="s">
        <v>312</v>
      </c>
      <c r="G77" s="43" t="s">
        <v>281</v>
      </c>
      <c r="H77" s="10">
        <v>0.12059800083105997</v>
      </c>
      <c r="I77" s="10">
        <v>0.16789847649467127</v>
      </c>
      <c r="J77" s="10">
        <v>0.1562207193579257</v>
      </c>
      <c r="K77" s="10">
        <v>0.15006952754027642</v>
      </c>
      <c r="L77" s="10">
        <v>0.16374086192033718</v>
      </c>
      <c r="M77" s="10">
        <v>0.14743099948912008</v>
      </c>
      <c r="N77" s="10">
        <v>9.4041414366609274E-2</v>
      </c>
      <c r="O77" s="10">
        <v>0.13456875821488182</v>
      </c>
      <c r="P77" s="10">
        <v>0.15707930258261715</v>
      </c>
      <c r="Q77" s="10">
        <v>0.1366666184667969</v>
      </c>
      <c r="R77" s="10">
        <v>0.15251213813195408</v>
      </c>
      <c r="S77" s="10">
        <v>0.16144595225895933</v>
      </c>
      <c r="T77" s="10">
        <v>0.17017767644203829</v>
      </c>
      <c r="U77" s="10">
        <v>8.7549553902752458E-2</v>
      </c>
      <c r="V77" s="10">
        <v>0.13996353763244257</v>
      </c>
      <c r="W77" s="10">
        <v>0.16408049301484401</v>
      </c>
      <c r="X77" s="10">
        <v>0.14972686275640418</v>
      </c>
      <c r="Y77" s="10">
        <v>0.1463085242518728</v>
      </c>
      <c r="Z77" s="10">
        <v>0.15374768661164634</v>
      </c>
      <c r="AA77" s="10">
        <v>0.16100337430944414</v>
      </c>
      <c r="AB77" s="10">
        <v>8.5169521423346065E-2</v>
      </c>
      <c r="AC77" s="10">
        <v>0.14462106218700971</v>
      </c>
      <c r="AD77" s="10">
        <v>0.15927880292158872</v>
      </c>
      <c r="AE77" s="10">
        <v>0.15323481470929368</v>
      </c>
      <c r="AF77" s="10">
        <v>0.13729451948603222</v>
      </c>
      <c r="AG77" s="10">
        <v>0.15608969598895889</v>
      </c>
      <c r="AH77" s="10">
        <v>0.163037646001296</v>
      </c>
      <c r="AI77" s="10">
        <v>8.6443458705820736E-2</v>
      </c>
      <c r="AJ77" s="10">
        <v>0.49060673664580357</v>
      </c>
      <c r="AK77" s="10">
        <v>0.50939326335419632</v>
      </c>
      <c r="AL77" s="10">
        <v>0</v>
      </c>
      <c r="AM77" s="6">
        <v>1</v>
      </c>
      <c r="AN77" s="8">
        <v>1</v>
      </c>
      <c r="AO77" s="8">
        <v>1</v>
      </c>
      <c r="AP77" s="8">
        <v>1</v>
      </c>
      <c r="AQ77" s="8">
        <v>1</v>
      </c>
      <c r="AR77" s="8">
        <v>0</v>
      </c>
      <c r="AS77" s="87">
        <v>5</v>
      </c>
      <c r="AT77" s="8">
        <v>0.41306087536539887</v>
      </c>
      <c r="AU77" s="8">
        <v>0.33361343227590967</v>
      </c>
      <c r="AV77" s="8">
        <v>0.31375676688360443</v>
      </c>
      <c r="AW77" s="8">
        <v>0.30745277387146175</v>
      </c>
      <c r="AX77" s="8">
        <v>0.35141061655187228</v>
      </c>
      <c r="AY77" s="8">
        <v>0.54570924270062171</v>
      </c>
      <c r="AZ77" s="8">
        <v>0.73499629235113151</v>
      </c>
      <c r="BA77" s="8">
        <v>0.36800060538519513</v>
      </c>
      <c r="BB77" s="8">
        <v>0.30217984429822414</v>
      </c>
      <c r="BC77" s="8">
        <v>0.27531235746406996</v>
      </c>
      <c r="BD77" s="8">
        <v>0.27041271803479633</v>
      </c>
      <c r="BE77" s="8">
        <v>0.37240775916293356</v>
      </c>
      <c r="BF77" s="8">
        <v>0.61663791137829294</v>
      </c>
      <c r="BG77" s="8">
        <v>0.79504880427648805</v>
      </c>
      <c r="BH77" s="8">
        <v>0.42831040348840366</v>
      </c>
      <c r="BI77" s="8">
        <v>0.33188960849475196</v>
      </c>
      <c r="BJ77" s="8">
        <v>0.29781869139617406</v>
      </c>
      <c r="BK77" s="8">
        <v>0.27647695155517338</v>
      </c>
      <c r="BL77" s="8">
        <v>0.33830059241092231</v>
      </c>
      <c r="BM77" s="8">
        <v>0.61486580956568071</v>
      </c>
      <c r="BN77" s="8">
        <v>0.71233794308889409</v>
      </c>
      <c r="BO77" s="8">
        <v>0.37710319219138388</v>
      </c>
      <c r="BP77" s="8">
        <v>0.30359189863126546</v>
      </c>
      <c r="BQ77" s="8">
        <v>0.28174419486675151</v>
      </c>
      <c r="BR77" s="8">
        <v>0.26889644919819267</v>
      </c>
      <c r="BS77" s="8">
        <v>0.35144945327989457</v>
      </c>
      <c r="BT77" s="8">
        <v>0.65363901882703979</v>
      </c>
      <c r="BU77" s="8">
        <v>0.76357579300547163</v>
      </c>
      <c r="BV77" s="8">
        <v>1.1016947985991348</v>
      </c>
      <c r="BW77" s="8">
        <v>0.89830520140086512</v>
      </c>
      <c r="BX77" s="8">
        <v>0</v>
      </c>
      <c r="BY77" s="8">
        <v>3</v>
      </c>
      <c r="BZ77" s="8">
        <v>3</v>
      </c>
      <c r="CA77" s="8">
        <v>3</v>
      </c>
      <c r="CB77" s="8">
        <v>3</v>
      </c>
      <c r="CC77" s="8">
        <v>2</v>
      </c>
      <c r="CD77" s="8">
        <v>0</v>
      </c>
      <c r="CE77" s="8">
        <v>14</v>
      </c>
      <c r="CF77" s="9">
        <v>0.94671975156185773</v>
      </c>
      <c r="CG77" s="9">
        <v>0.83512534104649061</v>
      </c>
      <c r="CH77" s="9">
        <v>0.78373425312513456</v>
      </c>
      <c r="CI77" s="9">
        <v>0.76497507528319986</v>
      </c>
      <c r="CJ77" s="9">
        <v>0.86656209502408177</v>
      </c>
      <c r="CK77" s="9">
        <v>1.2388494848903635</v>
      </c>
      <c r="CL77" s="9">
        <v>1.5640339990688723</v>
      </c>
      <c r="CM77" s="9">
        <v>0.87056996898527217</v>
      </c>
      <c r="CN77" s="9">
        <v>0.76143899117906544</v>
      </c>
      <c r="CO77" s="9">
        <v>0.68729133339493687</v>
      </c>
      <c r="CP77" s="9">
        <v>0.69333757420154674</v>
      </c>
      <c r="CQ77" s="9">
        <v>0.90626147058482642</v>
      </c>
      <c r="CR77" s="9">
        <v>1.4034534991986241</v>
      </c>
      <c r="CS77" s="9">
        <v>1.6776471624557285</v>
      </c>
      <c r="CT77" s="9">
        <v>0.99658434460924983</v>
      </c>
      <c r="CU77" s="9">
        <v>0.82785971000434788</v>
      </c>
      <c r="CV77" s="9">
        <v>0.74536424554875236</v>
      </c>
      <c r="CW77" s="9">
        <v>0.69926242736221955</v>
      </c>
      <c r="CX77" s="9">
        <v>0.83034887143349101</v>
      </c>
      <c r="CY77" s="9">
        <v>1.3907349934408055</v>
      </c>
      <c r="CZ77" s="9">
        <v>1.5098454076011343</v>
      </c>
      <c r="DA77" s="9">
        <v>0.77312638250598287</v>
      </c>
      <c r="DB77" s="9">
        <v>0.66526530064036438</v>
      </c>
      <c r="DC77" s="9">
        <v>0.62280847282054619</v>
      </c>
      <c r="DD77" s="9">
        <v>0.58545526814968663</v>
      </c>
      <c r="DE77" s="9">
        <v>0.74183878478878318</v>
      </c>
      <c r="DF77" s="9">
        <v>1.252436010713029</v>
      </c>
      <c r="DG77" s="9">
        <v>1.3590697803816068</v>
      </c>
      <c r="DH77" s="9">
        <v>1.5923015352449383</v>
      </c>
      <c r="DI77" s="9">
        <v>1.4076984647550614</v>
      </c>
      <c r="DJ77" s="9"/>
      <c r="DK77" s="9">
        <v>7</v>
      </c>
      <c r="DL77" s="9">
        <v>7</v>
      </c>
      <c r="DM77" s="9">
        <v>7</v>
      </c>
      <c r="DN77" s="9">
        <v>6</v>
      </c>
      <c r="DO77" s="9">
        <v>3</v>
      </c>
      <c r="DP77" s="9"/>
      <c r="DQ77" s="9">
        <v>30</v>
      </c>
      <c r="DR77" s="8">
        <f>+SUM(Tabla2[[#This Row],[1 gral]:[1 gral]])</f>
        <v>0.94671975156185773</v>
      </c>
      <c r="DS77" s="8">
        <f>+SUM(Tabla2[[#This Row],[1 temm]:[1 temm]])</f>
        <v>0.41306087536539887</v>
      </c>
      <c r="DT77" s="8">
        <f>+SUM(Tabla2[[#This Row],[1 porta]:[1 porta]])</f>
        <v>0.12059800083105997</v>
      </c>
      <c r="DU77" s="8">
        <f>+Tabla2[[#This Row],[GRAL]]-(Tabla2[[#This Row],[TEMM14]]+Tabla2[[#This Row],[PORTA15]])</f>
        <v>0.41306087536539893</v>
      </c>
    </row>
    <row r="78" spans="1:125" hidden="1" x14ac:dyDescent="0.2">
      <c r="A78" s="84" t="s">
        <v>455</v>
      </c>
      <c r="B78" s="84" t="s">
        <v>483</v>
      </c>
      <c r="C78" s="11" t="s">
        <v>452</v>
      </c>
      <c r="D78" s="11">
        <v>2092975</v>
      </c>
      <c r="E78" s="11" t="s">
        <v>431</v>
      </c>
      <c r="F78" s="11" t="s">
        <v>460</v>
      </c>
      <c r="G78" s="43" t="s">
        <v>280</v>
      </c>
      <c r="H78" s="10">
        <v>0.12059800083105997</v>
      </c>
      <c r="I78" s="10">
        <v>0.16789847649467127</v>
      </c>
      <c r="J78" s="10">
        <v>0.1562207193579257</v>
      </c>
      <c r="K78" s="10">
        <v>0.15006952754027642</v>
      </c>
      <c r="L78" s="10">
        <v>0.16374086192033718</v>
      </c>
      <c r="M78" s="10">
        <v>0.14743099948912008</v>
      </c>
      <c r="N78" s="10">
        <v>9.4041414366609274E-2</v>
      </c>
      <c r="O78" s="10">
        <v>0.13456875821488182</v>
      </c>
      <c r="P78" s="10">
        <v>0.15707930258261715</v>
      </c>
      <c r="Q78" s="10">
        <v>0.1366666184667969</v>
      </c>
      <c r="R78" s="10">
        <v>0.15251213813195408</v>
      </c>
      <c r="S78" s="10">
        <v>0.16144595225895933</v>
      </c>
      <c r="T78" s="10">
        <v>0.17017767644203829</v>
      </c>
      <c r="U78" s="10">
        <v>8.7549553902752458E-2</v>
      </c>
      <c r="V78" s="10">
        <v>0.13996353763244257</v>
      </c>
      <c r="W78" s="10">
        <v>0.16408049301484401</v>
      </c>
      <c r="X78" s="10">
        <v>0.14972686275640418</v>
      </c>
      <c r="Y78" s="10">
        <v>0.1463085242518728</v>
      </c>
      <c r="Z78" s="10">
        <v>0.15374768661164634</v>
      </c>
      <c r="AA78" s="10">
        <v>0.16100337430944414</v>
      </c>
      <c r="AB78" s="10">
        <v>8.5169521423346065E-2</v>
      </c>
      <c r="AC78" s="10">
        <v>0.14462106218700971</v>
      </c>
      <c r="AD78" s="10">
        <v>0.15927880292158872</v>
      </c>
      <c r="AE78" s="10">
        <v>0.15323481470929368</v>
      </c>
      <c r="AF78" s="10">
        <v>0.13729451948603222</v>
      </c>
      <c r="AG78" s="10">
        <v>0.15608969598895889</v>
      </c>
      <c r="AH78" s="10">
        <v>0.163037646001296</v>
      </c>
      <c r="AI78" s="10">
        <v>8.6443458705820736E-2</v>
      </c>
      <c r="AJ78" s="10">
        <v>0.49060673664580357</v>
      </c>
      <c r="AK78" s="10">
        <v>0.50939326335419632</v>
      </c>
      <c r="AL78" s="10">
        <v>0</v>
      </c>
      <c r="AM78" s="6">
        <v>1</v>
      </c>
      <c r="AN78" s="8">
        <v>1</v>
      </c>
      <c r="AO78" s="8">
        <v>1</v>
      </c>
      <c r="AP78" s="8">
        <v>1</v>
      </c>
      <c r="AQ78" s="8">
        <v>1</v>
      </c>
      <c r="AR78" s="8">
        <v>0</v>
      </c>
      <c r="AS78" s="64">
        <v>5</v>
      </c>
      <c r="AT78" s="8">
        <v>0.96380870918593065</v>
      </c>
      <c r="AU78" s="8">
        <v>0.7784313419771226</v>
      </c>
      <c r="AV78" s="8">
        <v>0.73209912272841027</v>
      </c>
      <c r="AW78" s="8">
        <v>0.71738980570007738</v>
      </c>
      <c r="AX78" s="8">
        <v>0.81995810528770197</v>
      </c>
      <c r="AY78" s="8">
        <v>1.2733215663014508</v>
      </c>
      <c r="AZ78" s="8">
        <v>1.7149913488193069</v>
      </c>
      <c r="BA78" s="8">
        <v>0.85866807923212196</v>
      </c>
      <c r="BB78" s="8">
        <v>0.70508630336252298</v>
      </c>
      <c r="BC78" s="8">
        <v>0.64239550074949658</v>
      </c>
      <c r="BD78" s="8">
        <v>0.63096300874785816</v>
      </c>
      <c r="BE78" s="8">
        <v>0.86895143804684494</v>
      </c>
      <c r="BF78" s="8">
        <v>1.438821793216017</v>
      </c>
      <c r="BG78" s="8">
        <v>1.8551138766451387</v>
      </c>
      <c r="BH78" s="8">
        <v>0.99939094147294183</v>
      </c>
      <c r="BI78" s="8">
        <v>0.77440908648775464</v>
      </c>
      <c r="BJ78" s="8">
        <v>0.69491027992440613</v>
      </c>
      <c r="BK78" s="8">
        <v>0.64511288696207114</v>
      </c>
      <c r="BL78" s="8">
        <v>0.78936804895881874</v>
      </c>
      <c r="BM78" s="8">
        <v>1.4346868889865885</v>
      </c>
      <c r="BN78" s="8">
        <v>1.6621218672074194</v>
      </c>
      <c r="BO78" s="8">
        <v>0.87990744844656243</v>
      </c>
      <c r="BP78" s="8">
        <v>0.70838109680628603</v>
      </c>
      <c r="BQ78" s="8">
        <v>0.65740312135575352</v>
      </c>
      <c r="BR78" s="8">
        <v>0.62742504812911615</v>
      </c>
      <c r="BS78" s="8">
        <v>0.82004872431975406</v>
      </c>
      <c r="BT78" s="8">
        <v>1.5251577105964262</v>
      </c>
      <c r="BU78" s="8">
        <v>1.7816768503461005</v>
      </c>
      <c r="BV78" s="8">
        <v>1.1016947985991348</v>
      </c>
      <c r="BW78" s="8">
        <v>0.89830520140086512</v>
      </c>
      <c r="BX78" s="8">
        <v>0</v>
      </c>
      <c r="BY78" s="8">
        <v>7</v>
      </c>
      <c r="BZ78" s="8">
        <v>7</v>
      </c>
      <c r="CA78" s="8">
        <v>7</v>
      </c>
      <c r="CB78" s="8">
        <v>7</v>
      </c>
      <c r="CC78" s="8">
        <v>2</v>
      </c>
      <c r="CD78" s="8">
        <v>0</v>
      </c>
      <c r="CE78" s="8">
        <v>30</v>
      </c>
      <c r="CF78" s="9">
        <v>1.7728415022926554</v>
      </c>
      <c r="CG78" s="9">
        <v>1.5023522055983101</v>
      </c>
      <c r="CH78" s="9">
        <v>1.4112477868923432</v>
      </c>
      <c r="CI78" s="9">
        <v>1.3798806230261231</v>
      </c>
      <c r="CJ78" s="9">
        <v>1.5693833281278264</v>
      </c>
      <c r="CK78" s="9">
        <v>2.3302679702916071</v>
      </c>
      <c r="CL78" s="9">
        <v>3.0340265837711353</v>
      </c>
      <c r="CM78" s="9">
        <v>1.6065711797556623</v>
      </c>
      <c r="CN78" s="9">
        <v>1.3657986797755137</v>
      </c>
      <c r="CO78" s="9">
        <v>1.2379160483230767</v>
      </c>
      <c r="CP78" s="9">
        <v>1.2341630102711394</v>
      </c>
      <c r="CQ78" s="9">
        <v>1.6510769889106935</v>
      </c>
      <c r="CR78" s="9">
        <v>2.6367293219552104</v>
      </c>
      <c r="CS78" s="9">
        <v>3.2677447710087044</v>
      </c>
      <c r="CT78" s="9">
        <v>1.853205151586057</v>
      </c>
      <c r="CU78" s="9">
        <v>1.4916389269938519</v>
      </c>
      <c r="CV78" s="9">
        <v>1.3410016283411004</v>
      </c>
      <c r="CW78" s="9">
        <v>1.2522163304725662</v>
      </c>
      <c r="CX78" s="9">
        <v>1.5069500562553357</v>
      </c>
      <c r="CY78" s="9">
        <v>2.6204666125721672</v>
      </c>
      <c r="CZ78" s="9">
        <v>2.9345212937789222</v>
      </c>
      <c r="DA78" s="9">
        <v>1.6530338309525454</v>
      </c>
      <c r="DB78" s="9">
        <v>1.3736463974466504</v>
      </c>
      <c r="DC78" s="9">
        <v>1.2802115941762997</v>
      </c>
      <c r="DD78" s="9">
        <v>1.2128803162788029</v>
      </c>
      <c r="DE78" s="9">
        <v>1.5618875091085371</v>
      </c>
      <c r="DF78" s="9">
        <v>2.7775937213094553</v>
      </c>
      <c r="DG78" s="9">
        <v>3.1407466307277074</v>
      </c>
      <c r="DH78" s="9">
        <v>1.5923015352449383</v>
      </c>
      <c r="DI78" s="9">
        <v>1.4076984647550614</v>
      </c>
      <c r="DJ78" s="9"/>
      <c r="DK78" s="9">
        <v>13</v>
      </c>
      <c r="DL78" s="9">
        <v>13</v>
      </c>
      <c r="DM78" s="9">
        <v>13</v>
      </c>
      <c r="DN78" s="9">
        <v>13</v>
      </c>
      <c r="DO78" s="9">
        <v>3</v>
      </c>
      <c r="DP78" s="9"/>
      <c r="DQ78" s="9">
        <v>55</v>
      </c>
      <c r="DR78" s="8">
        <f>+SUM(Tabla2[[#This Row],[1 gral]:[1 gral]])</f>
        <v>1.7728415022926554</v>
      </c>
      <c r="DS78" s="8">
        <f>+SUM(Tabla2[[#This Row],[1 temm]:[1 temm]])</f>
        <v>0.96380870918593065</v>
      </c>
      <c r="DT78" s="8">
        <f>+SUM(Tabla2[[#This Row],[1 porta]:[1 porta]])</f>
        <v>0.12059800083105997</v>
      </c>
      <c r="DU78" s="8">
        <f>+Tabla2[[#This Row],[GRAL]]-(Tabla2[[#This Row],[TEMM14]]+Tabla2[[#This Row],[PORTA15]])</f>
        <v>0.68843479227566484</v>
      </c>
    </row>
    <row r="79" spans="1:125" hidden="1" x14ac:dyDescent="0.2">
      <c r="A79" s="84" t="s">
        <v>458</v>
      </c>
      <c r="B79" s="84" t="s">
        <v>483</v>
      </c>
      <c r="C79" s="11" t="s">
        <v>452</v>
      </c>
      <c r="D79" s="11">
        <v>2092982</v>
      </c>
      <c r="E79" s="11" t="s">
        <v>432</v>
      </c>
      <c r="F79" s="11" t="s">
        <v>477</v>
      </c>
      <c r="G79" s="43" t="s">
        <v>280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0.98121347329160713</v>
      </c>
      <c r="AK79" s="10">
        <v>1.0187865267083926</v>
      </c>
      <c r="AL79" s="10">
        <v>0</v>
      </c>
      <c r="AM79" s="6">
        <v>0</v>
      </c>
      <c r="AN79" s="8">
        <v>0</v>
      </c>
      <c r="AO79" s="8">
        <v>0</v>
      </c>
      <c r="AP79" s="8">
        <v>0</v>
      </c>
      <c r="AQ79" s="8">
        <v>2</v>
      </c>
      <c r="AR79" s="8">
        <v>0</v>
      </c>
      <c r="AS79" s="64">
        <v>2</v>
      </c>
      <c r="AT79" s="8">
        <v>1.1014956676410637</v>
      </c>
      <c r="AU79" s="8">
        <v>0.88963581940242586</v>
      </c>
      <c r="AV79" s="8">
        <v>0.83668471168961178</v>
      </c>
      <c r="AW79" s="8">
        <v>0.81987406365723126</v>
      </c>
      <c r="AX79" s="8">
        <v>0.93709497747165937</v>
      </c>
      <c r="AY79" s="8">
        <v>1.4552246472016579</v>
      </c>
      <c r="AZ79" s="8">
        <v>1.9599901129363508</v>
      </c>
      <c r="BA79" s="8">
        <v>0.98133494769385365</v>
      </c>
      <c r="BB79" s="8">
        <v>0.80581291812859768</v>
      </c>
      <c r="BC79" s="8">
        <v>0.73416628657085325</v>
      </c>
      <c r="BD79" s="8">
        <v>0.72110058142612354</v>
      </c>
      <c r="BE79" s="8">
        <v>0.99308735776782275</v>
      </c>
      <c r="BF79" s="8">
        <v>1.6443677636754479</v>
      </c>
      <c r="BG79" s="8">
        <v>2.1201301447373013</v>
      </c>
      <c r="BH79" s="8">
        <v>1.1421610759690763</v>
      </c>
      <c r="BI79" s="8">
        <v>0.88503895598600524</v>
      </c>
      <c r="BJ79" s="8">
        <v>0.79418317705646413</v>
      </c>
      <c r="BK79" s="8">
        <v>0.73727187081379564</v>
      </c>
      <c r="BL79" s="8">
        <v>0.90213491309579286</v>
      </c>
      <c r="BM79" s="8">
        <v>1.6396421588418153</v>
      </c>
      <c r="BN79" s="8">
        <v>1.8995678482370508</v>
      </c>
      <c r="BO79" s="8">
        <v>0.87990744844656243</v>
      </c>
      <c r="BP79" s="8">
        <v>0.70838109680628603</v>
      </c>
      <c r="BQ79" s="8">
        <v>0.65740312135575352</v>
      </c>
      <c r="BR79" s="8">
        <v>0.62742504812911615</v>
      </c>
      <c r="BS79" s="8">
        <v>0.82004872431975406</v>
      </c>
      <c r="BT79" s="8">
        <v>1.5251577105964262</v>
      </c>
      <c r="BU79" s="8">
        <v>1.7816768503461005</v>
      </c>
      <c r="BV79" s="8">
        <v>1.1016947985991348</v>
      </c>
      <c r="BW79" s="8">
        <v>0.89830520140086512</v>
      </c>
      <c r="BX79" s="8">
        <v>0</v>
      </c>
      <c r="BY79" s="8">
        <v>8</v>
      </c>
      <c r="BZ79" s="8">
        <v>8</v>
      </c>
      <c r="CA79" s="8">
        <v>8</v>
      </c>
      <c r="CB79" s="8">
        <v>7</v>
      </c>
      <c r="CC79" s="8">
        <v>2</v>
      </c>
      <c r="CD79" s="8">
        <v>0</v>
      </c>
      <c r="CE79" s="8">
        <v>33</v>
      </c>
      <c r="CF79" s="9">
        <v>1.7899304599167285</v>
      </c>
      <c r="CG79" s="9">
        <v>1.4456582065289421</v>
      </c>
      <c r="CH79" s="9">
        <v>1.359612656495619</v>
      </c>
      <c r="CI79" s="9">
        <v>1.3322953534430009</v>
      </c>
      <c r="CJ79" s="9">
        <v>1.5227793383914465</v>
      </c>
      <c r="CK79" s="9">
        <v>2.364740051702694</v>
      </c>
      <c r="CL79" s="9">
        <v>3.1849839335215702</v>
      </c>
      <c r="CM79" s="9">
        <v>1.5946692900025123</v>
      </c>
      <c r="CN79" s="9">
        <v>1.3094459919589712</v>
      </c>
      <c r="CO79" s="9">
        <v>1.1930202156776366</v>
      </c>
      <c r="CP79" s="9">
        <v>1.1717884448174507</v>
      </c>
      <c r="CQ79" s="9">
        <v>1.6137669563727119</v>
      </c>
      <c r="CR79" s="9">
        <v>2.6720976159726026</v>
      </c>
      <c r="CS79" s="9">
        <v>3.4452114851981146</v>
      </c>
      <c r="CT79" s="9">
        <v>1.7132416139536146</v>
      </c>
      <c r="CU79" s="9">
        <v>1.3275584339790079</v>
      </c>
      <c r="CV79" s="9">
        <v>1.1912747655846962</v>
      </c>
      <c r="CW79" s="9">
        <v>1.1059078062206935</v>
      </c>
      <c r="CX79" s="9">
        <v>1.3532023696436892</v>
      </c>
      <c r="CY79" s="9">
        <v>2.4594632382627228</v>
      </c>
      <c r="CZ79" s="9">
        <v>2.8493517723555764</v>
      </c>
      <c r="DA79" s="9">
        <v>1.382711704701741</v>
      </c>
      <c r="DB79" s="9">
        <v>1.1131702949813067</v>
      </c>
      <c r="DC79" s="9">
        <v>1.0330620478447554</v>
      </c>
      <c r="DD79" s="9">
        <v>0.98595364706003963</v>
      </c>
      <c r="DE79" s="9">
        <v>1.2886479953596135</v>
      </c>
      <c r="DF79" s="9">
        <v>2.3966764023658129</v>
      </c>
      <c r="DG79" s="9">
        <v>2.7997779076867291</v>
      </c>
      <c r="DH79" s="9">
        <v>2.633755671190309</v>
      </c>
      <c r="DI79" s="9">
        <v>2.3662443288096906</v>
      </c>
      <c r="DJ79" s="9"/>
      <c r="DK79" s="9">
        <v>13</v>
      </c>
      <c r="DL79" s="9">
        <v>13</v>
      </c>
      <c r="DM79" s="9">
        <v>12</v>
      </c>
      <c r="DN79" s="9">
        <v>11</v>
      </c>
      <c r="DO79" s="9">
        <v>5</v>
      </c>
      <c r="DP79" s="9"/>
      <c r="DQ79" s="9">
        <v>54</v>
      </c>
      <c r="DR79" s="8">
        <f>+SUM(Tabla2[[#This Row],[1 gral]:[1 gral]])</f>
        <v>1.7899304599167285</v>
      </c>
      <c r="DS79" s="8">
        <f>+SUM(Tabla2[[#This Row],[1 temm]:[1 temm]])</f>
        <v>1.1014956676410637</v>
      </c>
      <c r="DT79" s="8">
        <f>+SUM(Tabla2[[#This Row],[1 porta]:[1 porta]])</f>
        <v>0</v>
      </c>
      <c r="DU79" s="8">
        <f>+Tabla2[[#This Row],[GRAL]]-(Tabla2[[#This Row],[TEMM14]]+Tabla2[[#This Row],[PORTA15]])</f>
        <v>0.68843479227566484</v>
      </c>
    </row>
    <row r="80" spans="1:125" x14ac:dyDescent="0.2">
      <c r="A80" s="84" t="s">
        <v>99</v>
      </c>
      <c r="B80" s="84" t="s">
        <v>482</v>
      </c>
      <c r="C80" s="11" t="s">
        <v>126</v>
      </c>
      <c r="D80" s="11">
        <v>2093011</v>
      </c>
      <c r="E80" s="11" t="s">
        <v>115</v>
      </c>
      <c r="F80" s="11" t="s">
        <v>319</v>
      </c>
      <c r="G80" s="43" t="s">
        <v>280</v>
      </c>
      <c r="H80" s="10">
        <v>0.12059800083105997</v>
      </c>
      <c r="I80" s="10">
        <v>0.16789847649467127</v>
      </c>
      <c r="J80" s="10">
        <v>0.1562207193579257</v>
      </c>
      <c r="K80" s="10">
        <v>0.15006952754027642</v>
      </c>
      <c r="L80" s="10">
        <v>0.16374086192033718</v>
      </c>
      <c r="M80" s="10">
        <v>0.14743099948912008</v>
      </c>
      <c r="N80" s="10">
        <v>9.4041414366609274E-2</v>
      </c>
      <c r="O80" s="10">
        <v>0.13456875821488182</v>
      </c>
      <c r="P80" s="10">
        <v>0.15707930258261715</v>
      </c>
      <c r="Q80" s="10">
        <v>0.1366666184667969</v>
      </c>
      <c r="R80" s="10">
        <v>0.15251213813195408</v>
      </c>
      <c r="S80" s="10">
        <v>0.16144595225895933</v>
      </c>
      <c r="T80" s="10">
        <v>0.17017767644203829</v>
      </c>
      <c r="U80" s="10">
        <v>8.7549553902752458E-2</v>
      </c>
      <c r="V80" s="10">
        <v>0.13996353763244257</v>
      </c>
      <c r="W80" s="10">
        <v>0.16408049301484401</v>
      </c>
      <c r="X80" s="10">
        <v>0.14972686275640418</v>
      </c>
      <c r="Y80" s="10">
        <v>0.1463085242518728</v>
      </c>
      <c r="Z80" s="10">
        <v>0.15374768661164634</v>
      </c>
      <c r="AA80" s="10">
        <v>0.16100337430944414</v>
      </c>
      <c r="AB80" s="10">
        <v>8.5169521423346065E-2</v>
      </c>
      <c r="AC80" s="10">
        <v>0.14462106218700971</v>
      </c>
      <c r="AD80" s="10">
        <v>0.15927880292158872</v>
      </c>
      <c r="AE80" s="10">
        <v>0.15323481470929368</v>
      </c>
      <c r="AF80" s="10">
        <v>0.13729451948603222</v>
      </c>
      <c r="AG80" s="10">
        <v>0.15608969598895889</v>
      </c>
      <c r="AH80" s="10">
        <v>0.163037646001296</v>
      </c>
      <c r="AI80" s="10">
        <v>8.6443458705820736E-2</v>
      </c>
      <c r="AJ80" s="10">
        <v>0.49060673664580357</v>
      </c>
      <c r="AK80" s="10">
        <v>0.50939326335419632</v>
      </c>
      <c r="AL80" s="10">
        <v>0</v>
      </c>
      <c r="AM80" s="6">
        <v>1</v>
      </c>
      <c r="AN80" s="8">
        <v>1</v>
      </c>
      <c r="AO80" s="8">
        <v>1</v>
      </c>
      <c r="AP80" s="8">
        <v>1</v>
      </c>
      <c r="AQ80" s="8">
        <v>1</v>
      </c>
      <c r="AR80" s="8">
        <v>0</v>
      </c>
      <c r="AS80" s="87">
        <v>5</v>
      </c>
      <c r="AT80" s="8">
        <v>0.68843479227566484</v>
      </c>
      <c r="AU80" s="8">
        <v>0.55602238712651619</v>
      </c>
      <c r="AV80" s="8">
        <v>0.52292794480600735</v>
      </c>
      <c r="AW80" s="8">
        <v>0.51242128978576951</v>
      </c>
      <c r="AX80" s="8">
        <v>0.58568436091978715</v>
      </c>
      <c r="AY80" s="8">
        <v>0.90951540450103618</v>
      </c>
      <c r="AZ80" s="8">
        <v>1.2249938205852193</v>
      </c>
      <c r="BA80" s="8">
        <v>0.61333434230865858</v>
      </c>
      <c r="BB80" s="8">
        <v>0.50363307383037359</v>
      </c>
      <c r="BC80" s="8">
        <v>0.4588539291067833</v>
      </c>
      <c r="BD80" s="8">
        <v>0.45068786339132721</v>
      </c>
      <c r="BE80" s="8">
        <v>0.62067959860488919</v>
      </c>
      <c r="BF80" s="8">
        <v>1.027729852297155</v>
      </c>
      <c r="BG80" s="8">
        <v>1.3250813404608133</v>
      </c>
      <c r="BH80" s="8">
        <v>0.71385067248067269</v>
      </c>
      <c r="BI80" s="8">
        <v>0.55314934749125322</v>
      </c>
      <c r="BJ80" s="8">
        <v>0.49636448566029007</v>
      </c>
      <c r="BK80" s="8">
        <v>0.46079491925862226</v>
      </c>
      <c r="BL80" s="8">
        <v>0.56383432068487049</v>
      </c>
      <c r="BM80" s="8">
        <v>1.0247763492761346</v>
      </c>
      <c r="BN80" s="8">
        <v>1.1872299051481567</v>
      </c>
      <c r="BO80" s="8">
        <v>0.62850532031897322</v>
      </c>
      <c r="BP80" s="8">
        <v>0.50598649771877569</v>
      </c>
      <c r="BQ80" s="8">
        <v>0.46957365811125251</v>
      </c>
      <c r="BR80" s="8">
        <v>0.44816074866365441</v>
      </c>
      <c r="BS80" s="8">
        <v>0.58574908879982424</v>
      </c>
      <c r="BT80" s="8">
        <v>1.0893983647117331</v>
      </c>
      <c r="BU80" s="8">
        <v>1.272626321675786</v>
      </c>
      <c r="BV80" s="8">
        <v>0</v>
      </c>
      <c r="BW80" s="8">
        <v>0</v>
      </c>
      <c r="BX80" s="8">
        <v>0</v>
      </c>
      <c r="BY80" s="8">
        <v>5</v>
      </c>
      <c r="BZ80" s="8">
        <v>5</v>
      </c>
      <c r="CA80" s="8">
        <v>5</v>
      </c>
      <c r="CB80" s="8">
        <v>5</v>
      </c>
      <c r="CC80" s="8">
        <v>0</v>
      </c>
      <c r="CD80" s="8">
        <v>0</v>
      </c>
      <c r="CE80" s="8">
        <v>20</v>
      </c>
      <c r="CF80" s="9">
        <v>1.0844067100169907</v>
      </c>
      <c r="CG80" s="9">
        <v>0.94632981847179387</v>
      </c>
      <c r="CH80" s="9">
        <v>0.88831984208633596</v>
      </c>
      <c r="CI80" s="9">
        <v>0.86745933324035374</v>
      </c>
      <c r="CJ80" s="9">
        <v>0.98369896720803918</v>
      </c>
      <c r="CK80" s="9">
        <v>1.4207525657905709</v>
      </c>
      <c r="CL80" s="9">
        <v>1.8090327631859164</v>
      </c>
      <c r="CM80" s="9">
        <v>0.99323683744700375</v>
      </c>
      <c r="CN80" s="9">
        <v>0.86216560594514013</v>
      </c>
      <c r="CO80" s="9">
        <v>0.77906211921629354</v>
      </c>
      <c r="CP80" s="9">
        <v>0.78347514687981212</v>
      </c>
      <c r="CQ80" s="9">
        <v>1.0303973903058041</v>
      </c>
      <c r="CR80" s="9">
        <v>1.6089994696580552</v>
      </c>
      <c r="CS80" s="9">
        <v>1.9426634305478911</v>
      </c>
      <c r="CT80" s="9">
        <v>1.1393544791053842</v>
      </c>
      <c r="CU80" s="9">
        <v>0.93848957950259859</v>
      </c>
      <c r="CV80" s="9">
        <v>0.84463714268081025</v>
      </c>
      <c r="CW80" s="9">
        <v>0.79142141121394394</v>
      </c>
      <c r="CX80" s="9">
        <v>0.94311573557046513</v>
      </c>
      <c r="CY80" s="9">
        <v>1.5956902632960326</v>
      </c>
      <c r="CZ80" s="9">
        <v>1.7472913886307655</v>
      </c>
      <c r="DA80" s="9">
        <v>1.0245285106335722</v>
      </c>
      <c r="DB80" s="9">
        <v>0.86765989972787461</v>
      </c>
      <c r="DC80" s="9">
        <v>0.81063793606504719</v>
      </c>
      <c r="DD80" s="9">
        <v>0.76471956761514837</v>
      </c>
      <c r="DE80" s="9">
        <v>0.97613842030871278</v>
      </c>
      <c r="DF80" s="9">
        <v>1.6881953565977224</v>
      </c>
      <c r="DG80" s="9">
        <v>1.8681203090519212</v>
      </c>
      <c r="DH80" s="9">
        <v>-6.0240662653763821E-2</v>
      </c>
      <c r="DI80" s="9">
        <v>6.0240662653763766E-2</v>
      </c>
      <c r="DJ80" s="9"/>
      <c r="DK80" s="9">
        <v>8</v>
      </c>
      <c r="DL80" s="9">
        <v>8</v>
      </c>
      <c r="DM80" s="9">
        <v>8</v>
      </c>
      <c r="DN80" s="9">
        <v>8</v>
      </c>
      <c r="DO80" s="9">
        <v>0</v>
      </c>
      <c r="DP80" s="9"/>
      <c r="DQ80" s="9">
        <v>32</v>
      </c>
      <c r="DR80" s="8">
        <f>+SUM(Tabla2[[#This Row],[1 gral]:[1 gral]])</f>
        <v>1.0844067100169907</v>
      </c>
      <c r="DS80" s="8">
        <f>+SUM(Tabla2[[#This Row],[1 temm]:[1 temm]])</f>
        <v>0.68843479227566484</v>
      </c>
      <c r="DT80" s="8">
        <f>+SUM(Tabla2[[#This Row],[1 porta]:[1 porta]])</f>
        <v>0.12059800083105997</v>
      </c>
      <c r="DU80" s="8">
        <f>+Tabla2[[#This Row],[GRAL]]-(Tabla2[[#This Row],[TEMM14]]+Tabla2[[#This Row],[PORTA15]])</f>
        <v>0.27537391691026591</v>
      </c>
    </row>
    <row r="81" spans="1:125" x14ac:dyDescent="0.2">
      <c r="A81" s="84" t="s">
        <v>99</v>
      </c>
      <c r="B81" s="84" t="s">
        <v>482</v>
      </c>
      <c r="C81" s="11" t="s">
        <v>125</v>
      </c>
      <c r="D81" s="11">
        <v>2093014</v>
      </c>
      <c r="E81" s="11" t="s">
        <v>44</v>
      </c>
      <c r="F81" s="11" t="s">
        <v>306</v>
      </c>
      <c r="G81" s="43" t="s">
        <v>280</v>
      </c>
      <c r="H81" s="10">
        <v>0.12059800083105997</v>
      </c>
      <c r="I81" s="10">
        <v>0.16789847649467127</v>
      </c>
      <c r="J81" s="10">
        <v>0.1562207193579257</v>
      </c>
      <c r="K81" s="10">
        <v>0.15006952754027642</v>
      </c>
      <c r="L81" s="10">
        <v>0.16374086192033718</v>
      </c>
      <c r="M81" s="10">
        <v>0.14743099948912008</v>
      </c>
      <c r="N81" s="10">
        <v>9.4041414366609274E-2</v>
      </c>
      <c r="O81" s="10">
        <v>0.13456875821488182</v>
      </c>
      <c r="P81" s="10">
        <v>0.15707930258261715</v>
      </c>
      <c r="Q81" s="10">
        <v>0.1366666184667969</v>
      </c>
      <c r="R81" s="10">
        <v>0.15251213813195408</v>
      </c>
      <c r="S81" s="10">
        <v>0.16144595225895933</v>
      </c>
      <c r="T81" s="10">
        <v>0.17017767644203829</v>
      </c>
      <c r="U81" s="10">
        <v>8.7549553902752458E-2</v>
      </c>
      <c r="V81" s="10">
        <v>0.13996353763244257</v>
      </c>
      <c r="W81" s="10">
        <v>0.16408049301484401</v>
      </c>
      <c r="X81" s="10">
        <v>0.14972686275640418</v>
      </c>
      <c r="Y81" s="10">
        <v>0.1463085242518728</v>
      </c>
      <c r="Z81" s="10">
        <v>0.15374768661164634</v>
      </c>
      <c r="AA81" s="10">
        <v>0.16100337430944414</v>
      </c>
      <c r="AB81" s="10">
        <v>8.5169521423346065E-2</v>
      </c>
      <c r="AC81" s="10">
        <v>0.14462106218700971</v>
      </c>
      <c r="AD81" s="10">
        <v>0.15927880292158872</v>
      </c>
      <c r="AE81" s="10">
        <v>0.15323481470929368</v>
      </c>
      <c r="AF81" s="10">
        <v>0.13729451948603222</v>
      </c>
      <c r="AG81" s="10">
        <v>0.15608969598895889</v>
      </c>
      <c r="AH81" s="10">
        <v>0.163037646001296</v>
      </c>
      <c r="AI81" s="10">
        <v>8.6443458705820736E-2</v>
      </c>
      <c r="AJ81" s="10">
        <v>0.49060673664580357</v>
      </c>
      <c r="AK81" s="10">
        <v>0.50939326335419632</v>
      </c>
      <c r="AL81" s="10">
        <v>0</v>
      </c>
      <c r="AM81" s="6">
        <v>1</v>
      </c>
      <c r="AN81" s="8">
        <v>1</v>
      </c>
      <c r="AO81" s="8">
        <v>1</v>
      </c>
      <c r="AP81" s="8">
        <v>1</v>
      </c>
      <c r="AQ81" s="8">
        <v>1</v>
      </c>
      <c r="AR81" s="8">
        <v>0</v>
      </c>
      <c r="AS81" s="87">
        <v>5</v>
      </c>
      <c r="AT81" s="8">
        <v>0.68843479227566484</v>
      </c>
      <c r="AU81" s="8">
        <v>0.55602238712651619</v>
      </c>
      <c r="AV81" s="8">
        <v>0.52292794480600735</v>
      </c>
      <c r="AW81" s="8">
        <v>0.51242128978576951</v>
      </c>
      <c r="AX81" s="8">
        <v>0.58568436091978715</v>
      </c>
      <c r="AY81" s="8">
        <v>0.90951540450103618</v>
      </c>
      <c r="AZ81" s="8">
        <v>1.2249938205852193</v>
      </c>
      <c r="BA81" s="8">
        <v>0.61333434230865858</v>
      </c>
      <c r="BB81" s="8">
        <v>0.50363307383037359</v>
      </c>
      <c r="BC81" s="8">
        <v>0.4588539291067833</v>
      </c>
      <c r="BD81" s="8">
        <v>0.45068786339132721</v>
      </c>
      <c r="BE81" s="8">
        <v>0.62067959860488919</v>
      </c>
      <c r="BF81" s="8">
        <v>1.027729852297155</v>
      </c>
      <c r="BG81" s="8">
        <v>1.3250813404608133</v>
      </c>
      <c r="BH81" s="8">
        <v>0.71385067248067269</v>
      </c>
      <c r="BI81" s="8">
        <v>0.55314934749125322</v>
      </c>
      <c r="BJ81" s="8">
        <v>0.49636448566029007</v>
      </c>
      <c r="BK81" s="8">
        <v>0.46079491925862226</v>
      </c>
      <c r="BL81" s="8">
        <v>0.56383432068487049</v>
      </c>
      <c r="BM81" s="8">
        <v>1.0247763492761346</v>
      </c>
      <c r="BN81" s="8">
        <v>1.1872299051481567</v>
      </c>
      <c r="BO81" s="8">
        <v>0.62850532031897322</v>
      </c>
      <c r="BP81" s="8">
        <v>0.50598649771877569</v>
      </c>
      <c r="BQ81" s="8">
        <v>0.46957365811125251</v>
      </c>
      <c r="BR81" s="8">
        <v>0.44816074866365441</v>
      </c>
      <c r="BS81" s="8">
        <v>0.58574908879982424</v>
      </c>
      <c r="BT81" s="8">
        <v>1.0893983647117331</v>
      </c>
      <c r="BU81" s="8">
        <v>1.272626321675786</v>
      </c>
      <c r="BV81" s="8">
        <v>0</v>
      </c>
      <c r="BW81" s="8">
        <v>0</v>
      </c>
      <c r="BX81" s="8">
        <v>0</v>
      </c>
      <c r="BY81" s="8">
        <v>5</v>
      </c>
      <c r="BZ81" s="8">
        <v>5</v>
      </c>
      <c r="CA81" s="8">
        <v>5</v>
      </c>
      <c r="CB81" s="8">
        <v>5</v>
      </c>
      <c r="CC81" s="8">
        <v>0</v>
      </c>
      <c r="CD81" s="8">
        <v>0</v>
      </c>
      <c r="CE81" s="8">
        <v>20</v>
      </c>
      <c r="CF81" s="9">
        <v>1.3597806269272565</v>
      </c>
      <c r="CG81" s="9">
        <v>1.1687387733224004</v>
      </c>
      <c r="CH81" s="9">
        <v>1.0974910200087389</v>
      </c>
      <c r="CI81" s="9">
        <v>1.0724278491546615</v>
      </c>
      <c r="CJ81" s="9">
        <v>1.217972711575954</v>
      </c>
      <c r="CK81" s="9">
        <v>1.7845587275909853</v>
      </c>
      <c r="CL81" s="9">
        <v>2.2990302914200038</v>
      </c>
      <c r="CM81" s="9">
        <v>1.2385705743704671</v>
      </c>
      <c r="CN81" s="9">
        <v>1.0636188354772895</v>
      </c>
      <c r="CO81" s="9">
        <v>0.96260369085900677</v>
      </c>
      <c r="CP81" s="9">
        <v>0.96375029223634301</v>
      </c>
      <c r="CQ81" s="9">
        <v>1.2786692297477598</v>
      </c>
      <c r="CR81" s="9">
        <v>2.0200914105769172</v>
      </c>
      <c r="CS81" s="9">
        <v>2.4726959667322164</v>
      </c>
      <c r="CT81" s="9">
        <v>1.282124613601519</v>
      </c>
      <c r="CU81" s="9">
        <v>1.0491194490008493</v>
      </c>
      <c r="CV81" s="9">
        <v>0.94391003981286836</v>
      </c>
      <c r="CW81" s="9">
        <v>0.88358039506566843</v>
      </c>
      <c r="CX81" s="9">
        <v>1.0558825997074393</v>
      </c>
      <c r="CY81" s="9">
        <v>1.8006455331512594</v>
      </c>
      <c r="CZ81" s="9">
        <v>1.9847373696603969</v>
      </c>
      <c r="DA81" s="9">
        <v>1.1502295746973668</v>
      </c>
      <c r="DB81" s="9">
        <v>0.96885719927162983</v>
      </c>
      <c r="DC81" s="9">
        <v>0.9045526676872977</v>
      </c>
      <c r="DD81" s="9">
        <v>0.85435171734787929</v>
      </c>
      <c r="DE81" s="9">
        <v>1.0932882380686777</v>
      </c>
      <c r="DF81" s="9">
        <v>1.9060750295400688</v>
      </c>
      <c r="DG81" s="9">
        <v>2.1226455733870786</v>
      </c>
      <c r="DH81" s="9">
        <v>1.0414541359453708</v>
      </c>
      <c r="DI81" s="9">
        <v>0.95854586405462894</v>
      </c>
      <c r="DJ81" s="9"/>
      <c r="DK81" s="9">
        <v>10</v>
      </c>
      <c r="DL81" s="9">
        <v>10</v>
      </c>
      <c r="DM81" s="9">
        <v>9</v>
      </c>
      <c r="DN81" s="9">
        <v>9</v>
      </c>
      <c r="DO81" s="9">
        <v>2</v>
      </c>
      <c r="DP81" s="9"/>
      <c r="DQ81" s="9">
        <v>40</v>
      </c>
      <c r="DR81" s="8">
        <f>+SUM(Tabla2[[#This Row],[1 gral]:[1 gral]])</f>
        <v>1.3597806269272565</v>
      </c>
      <c r="DS81" s="8">
        <f>+SUM(Tabla2[[#This Row],[1 temm]:[1 temm]])</f>
        <v>0.68843479227566484</v>
      </c>
      <c r="DT81" s="8">
        <f>+SUM(Tabla2[[#This Row],[1 porta]:[1 porta]])</f>
        <v>0.12059800083105997</v>
      </c>
      <c r="DU81" s="8">
        <f>+Tabla2[[#This Row],[GRAL]]-(Tabla2[[#This Row],[TEMM14]]+Tabla2[[#This Row],[PORTA15]])</f>
        <v>0.55074783382053172</v>
      </c>
    </row>
    <row r="82" spans="1:125" x14ac:dyDescent="0.2">
      <c r="A82" s="84" t="s">
        <v>124</v>
      </c>
      <c r="B82" s="84" t="s">
        <v>482</v>
      </c>
      <c r="C82" s="11" t="s">
        <v>125</v>
      </c>
      <c r="D82" s="11">
        <v>2093017</v>
      </c>
      <c r="E82" s="11" t="s">
        <v>116</v>
      </c>
      <c r="F82" s="11" t="s">
        <v>306</v>
      </c>
      <c r="G82" s="43" t="s">
        <v>280</v>
      </c>
      <c r="H82" s="10">
        <v>0.12059800083105997</v>
      </c>
      <c r="I82" s="10">
        <v>0.16789847649467127</v>
      </c>
      <c r="J82" s="10">
        <v>0.1562207193579257</v>
      </c>
      <c r="K82" s="10">
        <v>0.15006952754027642</v>
      </c>
      <c r="L82" s="10">
        <v>0.16374086192033718</v>
      </c>
      <c r="M82" s="10">
        <v>0.14743099948912008</v>
      </c>
      <c r="N82" s="10">
        <v>9.4041414366609274E-2</v>
      </c>
      <c r="O82" s="10">
        <v>0.13456875821488182</v>
      </c>
      <c r="P82" s="10">
        <v>0.15707930258261715</v>
      </c>
      <c r="Q82" s="10">
        <v>0.1366666184667969</v>
      </c>
      <c r="R82" s="10">
        <v>0.15251213813195408</v>
      </c>
      <c r="S82" s="10">
        <v>0.16144595225895933</v>
      </c>
      <c r="T82" s="10">
        <v>0.17017767644203829</v>
      </c>
      <c r="U82" s="10">
        <v>8.7549553902752458E-2</v>
      </c>
      <c r="V82" s="10">
        <v>0.13996353763244257</v>
      </c>
      <c r="W82" s="10">
        <v>0.16408049301484401</v>
      </c>
      <c r="X82" s="10">
        <v>0.14972686275640418</v>
      </c>
      <c r="Y82" s="10">
        <v>0.1463085242518728</v>
      </c>
      <c r="Z82" s="10">
        <v>0.15374768661164634</v>
      </c>
      <c r="AA82" s="10">
        <v>0.16100337430944414</v>
      </c>
      <c r="AB82" s="10">
        <v>8.5169521423346065E-2</v>
      </c>
      <c r="AC82" s="10">
        <v>0.14462106218700971</v>
      </c>
      <c r="AD82" s="10">
        <v>0.15927880292158872</v>
      </c>
      <c r="AE82" s="10">
        <v>0.15323481470929368</v>
      </c>
      <c r="AF82" s="10">
        <v>0.13729451948603222</v>
      </c>
      <c r="AG82" s="10">
        <v>0.15608969598895889</v>
      </c>
      <c r="AH82" s="10">
        <v>0.163037646001296</v>
      </c>
      <c r="AI82" s="10">
        <v>8.6443458705820736E-2</v>
      </c>
      <c r="AJ82" s="10">
        <v>0.49060673664580357</v>
      </c>
      <c r="AK82" s="10">
        <v>0.50939326335419632</v>
      </c>
      <c r="AL82" s="10">
        <v>0</v>
      </c>
      <c r="AM82" s="6">
        <v>1</v>
      </c>
      <c r="AN82" s="8">
        <v>1</v>
      </c>
      <c r="AO82" s="8">
        <v>1</v>
      </c>
      <c r="AP82" s="8">
        <v>1</v>
      </c>
      <c r="AQ82" s="8">
        <v>1</v>
      </c>
      <c r="AR82" s="8">
        <v>0</v>
      </c>
      <c r="AS82" s="87">
        <v>5</v>
      </c>
      <c r="AT82" s="8">
        <v>0.68843479227566484</v>
      </c>
      <c r="AU82" s="8">
        <v>0.55602238712651619</v>
      </c>
      <c r="AV82" s="8">
        <v>0.52292794480600735</v>
      </c>
      <c r="AW82" s="8">
        <v>0.51242128978576951</v>
      </c>
      <c r="AX82" s="8">
        <v>0.58568436091978715</v>
      </c>
      <c r="AY82" s="8">
        <v>0.90951540450103618</v>
      </c>
      <c r="AZ82" s="8">
        <v>1.2249938205852193</v>
      </c>
      <c r="BA82" s="8">
        <v>0.61333434230865858</v>
      </c>
      <c r="BB82" s="8">
        <v>0.50363307383037359</v>
      </c>
      <c r="BC82" s="8">
        <v>0.4588539291067833</v>
      </c>
      <c r="BD82" s="8">
        <v>0.45068786339132721</v>
      </c>
      <c r="BE82" s="8">
        <v>0.62067959860488919</v>
      </c>
      <c r="BF82" s="8">
        <v>1.027729852297155</v>
      </c>
      <c r="BG82" s="8">
        <v>1.3250813404608133</v>
      </c>
      <c r="BH82" s="8">
        <v>0.71385067248067269</v>
      </c>
      <c r="BI82" s="8">
        <v>0.55314934749125322</v>
      </c>
      <c r="BJ82" s="8">
        <v>0.49636448566029007</v>
      </c>
      <c r="BK82" s="8">
        <v>0.46079491925862226</v>
      </c>
      <c r="BL82" s="8">
        <v>0.56383432068487049</v>
      </c>
      <c r="BM82" s="8">
        <v>1.0247763492761346</v>
      </c>
      <c r="BN82" s="8">
        <v>1.1872299051481567</v>
      </c>
      <c r="BO82" s="8">
        <v>0.62850532031897322</v>
      </c>
      <c r="BP82" s="8">
        <v>0.50598649771877569</v>
      </c>
      <c r="BQ82" s="8">
        <v>0.46957365811125251</v>
      </c>
      <c r="BR82" s="8">
        <v>0.44816074866365441</v>
      </c>
      <c r="BS82" s="8">
        <v>0.58574908879982424</v>
      </c>
      <c r="BT82" s="8">
        <v>1.0893983647117331</v>
      </c>
      <c r="BU82" s="8">
        <v>1.272626321675786</v>
      </c>
      <c r="BV82" s="8">
        <v>0</v>
      </c>
      <c r="BW82" s="8">
        <v>0</v>
      </c>
      <c r="BX82" s="8">
        <v>0</v>
      </c>
      <c r="BY82" s="8">
        <v>5</v>
      </c>
      <c r="BZ82" s="8">
        <v>5</v>
      </c>
      <c r="CA82" s="8">
        <v>5</v>
      </c>
      <c r="CB82" s="8">
        <v>5</v>
      </c>
      <c r="CC82" s="8">
        <v>0</v>
      </c>
      <c r="CD82" s="8">
        <v>0</v>
      </c>
      <c r="CE82" s="8">
        <v>20</v>
      </c>
      <c r="CF82" s="9">
        <v>1.6351545438375226</v>
      </c>
      <c r="CG82" s="9">
        <v>1.3911477281730069</v>
      </c>
      <c r="CH82" s="9">
        <v>1.3066621979311419</v>
      </c>
      <c r="CI82" s="9">
        <v>1.2773963650689695</v>
      </c>
      <c r="CJ82" s="9">
        <v>1.452246455943869</v>
      </c>
      <c r="CK82" s="9">
        <v>2.1483648893913996</v>
      </c>
      <c r="CL82" s="9">
        <v>2.7890278196540916</v>
      </c>
      <c r="CM82" s="9">
        <v>1.4839043112939305</v>
      </c>
      <c r="CN82" s="9">
        <v>1.2650720650094391</v>
      </c>
      <c r="CO82" s="9">
        <v>1.1461452625017201</v>
      </c>
      <c r="CP82" s="9">
        <v>1.144025437592874</v>
      </c>
      <c r="CQ82" s="9">
        <v>1.5269410691897156</v>
      </c>
      <c r="CR82" s="9">
        <v>2.431183351495779</v>
      </c>
      <c r="CS82" s="9">
        <v>3.0027285029165416</v>
      </c>
      <c r="CT82" s="9">
        <v>1.7104350170899225</v>
      </c>
      <c r="CU82" s="9">
        <v>1.3810090574956013</v>
      </c>
      <c r="CV82" s="9">
        <v>1.2417287312090424</v>
      </c>
      <c r="CW82" s="9">
        <v>1.1600573466208419</v>
      </c>
      <c r="CX82" s="9">
        <v>1.3941831921183616</v>
      </c>
      <c r="CY82" s="9">
        <v>2.4155113427169401</v>
      </c>
      <c r="CZ82" s="9">
        <v>2.6970753127492912</v>
      </c>
      <c r="DA82" s="9">
        <v>1.5273327668887506</v>
      </c>
      <c r="DB82" s="9">
        <v>1.2724490979028953</v>
      </c>
      <c r="DC82" s="9">
        <v>1.1862968625540491</v>
      </c>
      <c r="DD82" s="9">
        <v>1.1232481665460718</v>
      </c>
      <c r="DE82" s="9">
        <v>1.4447376913485721</v>
      </c>
      <c r="DF82" s="9">
        <v>2.5597140483671086</v>
      </c>
      <c r="DG82" s="9">
        <v>2.88622136639255</v>
      </c>
      <c r="DH82" s="9">
        <v>1.0414541359453708</v>
      </c>
      <c r="DI82" s="9">
        <v>0.95854586405462894</v>
      </c>
      <c r="DJ82" s="9"/>
      <c r="DK82" s="9">
        <v>12</v>
      </c>
      <c r="DL82" s="9">
        <v>12</v>
      </c>
      <c r="DM82" s="9">
        <v>12</v>
      </c>
      <c r="DN82" s="9">
        <v>12</v>
      </c>
      <c r="DO82" s="9">
        <v>2</v>
      </c>
      <c r="DP82" s="9"/>
      <c r="DQ82" s="9">
        <v>50</v>
      </c>
      <c r="DR82" s="8">
        <f>+SUM(Tabla2[[#This Row],[1 gral]:[1 gral]])</f>
        <v>1.6351545438375226</v>
      </c>
      <c r="DS82" s="8">
        <f>+SUM(Tabla2[[#This Row],[1 temm]:[1 temm]])</f>
        <v>0.68843479227566484</v>
      </c>
      <c r="DT82" s="8">
        <f>+SUM(Tabla2[[#This Row],[1 porta]:[1 porta]])</f>
        <v>0.12059800083105997</v>
      </c>
      <c r="DU82" s="8">
        <f>+Tabla2[[#This Row],[GRAL]]-(Tabla2[[#This Row],[TEMM14]]+Tabla2[[#This Row],[PORTA15]])</f>
        <v>0.82612175073079774</v>
      </c>
    </row>
    <row r="83" spans="1:125" hidden="1" x14ac:dyDescent="0.2">
      <c r="A83" s="84" t="s">
        <v>455</v>
      </c>
      <c r="B83" s="84" t="s">
        <v>483</v>
      </c>
      <c r="C83" s="11" t="s">
        <v>451</v>
      </c>
      <c r="D83" s="11">
        <v>2093034</v>
      </c>
      <c r="E83" s="11" t="s">
        <v>433</v>
      </c>
      <c r="F83" s="11" t="s">
        <v>460</v>
      </c>
      <c r="G83" s="43" t="s">
        <v>280</v>
      </c>
      <c r="H83" s="10">
        <v>0.12059800083105997</v>
      </c>
      <c r="I83" s="10">
        <v>0.16789847649467127</v>
      </c>
      <c r="J83" s="10">
        <v>0.1562207193579257</v>
      </c>
      <c r="K83" s="10">
        <v>0.15006952754027642</v>
      </c>
      <c r="L83" s="10">
        <v>0.16374086192033718</v>
      </c>
      <c r="M83" s="10">
        <v>0.14743099948912008</v>
      </c>
      <c r="N83" s="10">
        <v>9.4041414366609274E-2</v>
      </c>
      <c r="O83" s="10">
        <v>0.13456875821488182</v>
      </c>
      <c r="P83" s="10">
        <v>0.15707930258261715</v>
      </c>
      <c r="Q83" s="10">
        <v>0.1366666184667969</v>
      </c>
      <c r="R83" s="10">
        <v>0.15251213813195408</v>
      </c>
      <c r="S83" s="10">
        <v>0.16144595225895933</v>
      </c>
      <c r="T83" s="10">
        <v>0.17017767644203829</v>
      </c>
      <c r="U83" s="10">
        <v>8.7549553902752458E-2</v>
      </c>
      <c r="V83" s="10">
        <v>0.13996353763244257</v>
      </c>
      <c r="W83" s="10">
        <v>0.16408049301484401</v>
      </c>
      <c r="X83" s="10">
        <v>0.14972686275640418</v>
      </c>
      <c r="Y83" s="10">
        <v>0.1463085242518728</v>
      </c>
      <c r="Z83" s="10">
        <v>0.15374768661164634</v>
      </c>
      <c r="AA83" s="10">
        <v>0.16100337430944414</v>
      </c>
      <c r="AB83" s="10">
        <v>8.5169521423346065E-2</v>
      </c>
      <c r="AC83" s="10">
        <v>0.14462106218700971</v>
      </c>
      <c r="AD83" s="10">
        <v>0.15927880292158872</v>
      </c>
      <c r="AE83" s="10">
        <v>0.15323481470929368</v>
      </c>
      <c r="AF83" s="10">
        <v>0.13729451948603222</v>
      </c>
      <c r="AG83" s="10">
        <v>0.15608969598895889</v>
      </c>
      <c r="AH83" s="10">
        <v>0.163037646001296</v>
      </c>
      <c r="AI83" s="10">
        <v>8.6443458705820736E-2</v>
      </c>
      <c r="AJ83" s="10">
        <v>0</v>
      </c>
      <c r="AK83" s="10">
        <v>0</v>
      </c>
      <c r="AL83" s="10">
        <v>0</v>
      </c>
      <c r="AM83" s="6">
        <v>1</v>
      </c>
      <c r="AN83" s="8">
        <v>1</v>
      </c>
      <c r="AO83" s="8">
        <v>1</v>
      </c>
      <c r="AP83" s="8">
        <v>1</v>
      </c>
      <c r="AQ83" s="8">
        <v>0</v>
      </c>
      <c r="AR83" s="8">
        <v>0</v>
      </c>
      <c r="AS83" s="64">
        <v>4</v>
      </c>
      <c r="AT83" s="8">
        <v>0.82612175073079774</v>
      </c>
      <c r="AU83" s="8">
        <v>0.66722686455181934</v>
      </c>
      <c r="AV83" s="8">
        <v>0.62751353376720886</v>
      </c>
      <c r="AW83" s="8">
        <v>0.6149055477429235</v>
      </c>
      <c r="AX83" s="8">
        <v>0.70282123310374456</v>
      </c>
      <c r="AY83" s="8">
        <v>1.0914184854012434</v>
      </c>
      <c r="AZ83" s="8">
        <v>1.469992584702263</v>
      </c>
      <c r="BA83" s="8">
        <v>0.73600121077039027</v>
      </c>
      <c r="BB83" s="8">
        <v>0.60435968859644829</v>
      </c>
      <c r="BC83" s="8">
        <v>0.55062471492813991</v>
      </c>
      <c r="BD83" s="8">
        <v>0.54082543606959266</v>
      </c>
      <c r="BE83" s="8">
        <v>0.74481551832586712</v>
      </c>
      <c r="BF83" s="8">
        <v>1.2332758227565859</v>
      </c>
      <c r="BG83" s="8">
        <v>1.5900976085529761</v>
      </c>
      <c r="BH83" s="8">
        <v>0.85662080697680731</v>
      </c>
      <c r="BI83" s="8">
        <v>0.66377921698950393</v>
      </c>
      <c r="BJ83" s="8">
        <v>0.59563738279234812</v>
      </c>
      <c r="BK83" s="8">
        <v>0.55295390311034676</v>
      </c>
      <c r="BL83" s="8">
        <v>0.67660118482184461</v>
      </c>
      <c r="BM83" s="8">
        <v>1.2297316191313614</v>
      </c>
      <c r="BN83" s="8">
        <v>1.4246758861777882</v>
      </c>
      <c r="BO83" s="8">
        <v>0.75420638438276777</v>
      </c>
      <c r="BP83" s="8">
        <v>0.60718379726253091</v>
      </c>
      <c r="BQ83" s="8">
        <v>0.56348838973350301</v>
      </c>
      <c r="BR83" s="8">
        <v>0.53779289839638533</v>
      </c>
      <c r="BS83" s="8">
        <v>0.70289890655978915</v>
      </c>
      <c r="BT83" s="8">
        <v>1.3072780376540796</v>
      </c>
      <c r="BU83" s="8">
        <v>1.5271515860109433</v>
      </c>
      <c r="BV83" s="8">
        <v>1.1016947985991348</v>
      </c>
      <c r="BW83" s="8">
        <v>0.89830520140086512</v>
      </c>
      <c r="BX83" s="8">
        <v>0</v>
      </c>
      <c r="BY83" s="8">
        <v>6</v>
      </c>
      <c r="BZ83" s="8">
        <v>6</v>
      </c>
      <c r="CA83" s="8">
        <v>6</v>
      </c>
      <c r="CB83" s="8">
        <v>6</v>
      </c>
      <c r="CC83" s="8">
        <v>2</v>
      </c>
      <c r="CD83" s="8">
        <v>0</v>
      </c>
      <c r="CE83" s="8">
        <v>26</v>
      </c>
      <c r="CF83" s="9">
        <v>1.7728415022926556</v>
      </c>
      <c r="CG83" s="9">
        <v>1.5023522055983101</v>
      </c>
      <c r="CH83" s="9">
        <v>1.4112477868923434</v>
      </c>
      <c r="CI83" s="9">
        <v>1.3798806230261234</v>
      </c>
      <c r="CJ83" s="9">
        <v>1.5693833281278264</v>
      </c>
      <c r="CK83" s="9">
        <v>2.3302679702916071</v>
      </c>
      <c r="CL83" s="9">
        <v>3.0340265837711353</v>
      </c>
      <c r="CM83" s="9">
        <v>1.6065711797556623</v>
      </c>
      <c r="CN83" s="9">
        <v>1.3657986797755137</v>
      </c>
      <c r="CO83" s="9">
        <v>1.2379160483230769</v>
      </c>
      <c r="CP83" s="9">
        <v>1.2341630102711394</v>
      </c>
      <c r="CQ83" s="9">
        <v>1.6510769889106935</v>
      </c>
      <c r="CR83" s="9">
        <v>2.6367293219552099</v>
      </c>
      <c r="CS83" s="9">
        <v>3.2677447710087044</v>
      </c>
      <c r="CT83" s="9">
        <v>1.8532051515860573</v>
      </c>
      <c r="CU83" s="9">
        <v>1.4916389269938519</v>
      </c>
      <c r="CV83" s="9">
        <v>1.3410016283411004</v>
      </c>
      <c r="CW83" s="9">
        <v>1.2522163304725664</v>
      </c>
      <c r="CX83" s="9">
        <v>1.5069500562553357</v>
      </c>
      <c r="CY83" s="9">
        <v>2.6204666125721667</v>
      </c>
      <c r="CZ83" s="9">
        <v>2.9345212937789222</v>
      </c>
      <c r="DA83" s="9">
        <v>1.6530338309525452</v>
      </c>
      <c r="DB83" s="9">
        <v>1.3736463974466506</v>
      </c>
      <c r="DC83" s="9">
        <v>1.2802115941762997</v>
      </c>
      <c r="DD83" s="9">
        <v>1.2128803162788029</v>
      </c>
      <c r="DE83" s="9">
        <v>1.5618875091085371</v>
      </c>
      <c r="DF83" s="9">
        <v>2.7775937213094553</v>
      </c>
      <c r="DG83" s="9">
        <v>3.1407466307277074</v>
      </c>
      <c r="DH83" s="9">
        <v>2.2033895971982695</v>
      </c>
      <c r="DI83" s="9">
        <v>1.7966104028017302</v>
      </c>
      <c r="DJ83" s="9"/>
      <c r="DK83" s="9">
        <v>13</v>
      </c>
      <c r="DL83" s="9">
        <v>13</v>
      </c>
      <c r="DM83" s="9">
        <v>13</v>
      </c>
      <c r="DN83" s="9">
        <v>13</v>
      </c>
      <c r="DO83" s="9">
        <v>4</v>
      </c>
      <c r="DP83" s="9"/>
      <c r="DQ83" s="9">
        <v>56</v>
      </c>
      <c r="DR83" s="8">
        <f>+SUM(Tabla2[[#This Row],[1 gral]:[1 gral]])</f>
        <v>1.7728415022926556</v>
      </c>
      <c r="DS83" s="8">
        <f>+SUM(Tabla2[[#This Row],[1 temm]:[1 temm]])</f>
        <v>0.82612175073079774</v>
      </c>
      <c r="DT83" s="8">
        <f>+SUM(Tabla2[[#This Row],[1 porta]:[1 porta]])</f>
        <v>0.12059800083105997</v>
      </c>
      <c r="DU83" s="8">
        <f>+Tabla2[[#This Row],[GRAL]]-(Tabla2[[#This Row],[TEMM14]]+Tabla2[[#This Row],[PORTA15]])</f>
        <v>0.82612175073079785</v>
      </c>
    </row>
    <row r="84" spans="1:125" hidden="1" x14ac:dyDescent="0.2">
      <c r="A84" s="84" t="s">
        <v>456</v>
      </c>
      <c r="B84" s="84" t="s">
        <v>483</v>
      </c>
      <c r="C84" s="11" t="s">
        <v>453</v>
      </c>
      <c r="D84" s="11">
        <v>2093041</v>
      </c>
      <c r="E84" s="11" t="s">
        <v>434</v>
      </c>
      <c r="F84" s="11" t="s">
        <v>467</v>
      </c>
      <c r="G84" s="43" t="s">
        <v>280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1.9624269465832143</v>
      </c>
      <c r="AK84" s="10">
        <v>2.0375730534167853</v>
      </c>
      <c r="AL84" s="10">
        <v>0</v>
      </c>
      <c r="AM84" s="6">
        <v>0</v>
      </c>
      <c r="AN84" s="8">
        <v>0</v>
      </c>
      <c r="AO84" s="8">
        <v>0</v>
      </c>
      <c r="AP84" s="8">
        <v>0</v>
      </c>
      <c r="AQ84" s="8">
        <v>4</v>
      </c>
      <c r="AR84" s="8">
        <v>0</v>
      </c>
      <c r="AS84" s="64">
        <v>4</v>
      </c>
      <c r="AT84" s="8">
        <v>1.6522435014615955</v>
      </c>
      <c r="AU84" s="8">
        <v>1.3344537291036387</v>
      </c>
      <c r="AV84" s="8">
        <v>1.2550270675344177</v>
      </c>
      <c r="AW84" s="8">
        <v>1.229811095485847</v>
      </c>
      <c r="AX84" s="8">
        <v>1.4056424662074891</v>
      </c>
      <c r="AY84" s="8">
        <v>2.1828369708024868</v>
      </c>
      <c r="AZ84" s="8">
        <v>2.939985169404526</v>
      </c>
      <c r="BA84" s="8">
        <v>1.4720024215407805</v>
      </c>
      <c r="BB84" s="8">
        <v>1.2087193771928966</v>
      </c>
      <c r="BC84" s="8">
        <v>1.1012494298562798</v>
      </c>
      <c r="BD84" s="8">
        <v>1.0816508721391853</v>
      </c>
      <c r="BE84" s="8">
        <v>1.4896310366517342</v>
      </c>
      <c r="BF84" s="8">
        <v>2.4665516455131717</v>
      </c>
      <c r="BG84" s="8">
        <v>3.1801952171059522</v>
      </c>
      <c r="BH84" s="8">
        <v>1.7132416139536146</v>
      </c>
      <c r="BI84" s="8">
        <v>1.3275584339790079</v>
      </c>
      <c r="BJ84" s="8">
        <v>1.1912747655846962</v>
      </c>
      <c r="BK84" s="8">
        <v>1.1059078062206935</v>
      </c>
      <c r="BL84" s="8">
        <v>1.3532023696436892</v>
      </c>
      <c r="BM84" s="8">
        <v>2.4594632382627228</v>
      </c>
      <c r="BN84" s="8">
        <v>2.8493517723555764</v>
      </c>
      <c r="BO84" s="8">
        <v>1.382711704701741</v>
      </c>
      <c r="BP84" s="8">
        <v>1.1131702949813065</v>
      </c>
      <c r="BQ84" s="8">
        <v>1.0330620478447554</v>
      </c>
      <c r="BR84" s="8">
        <v>0.98595364706003974</v>
      </c>
      <c r="BS84" s="8">
        <v>1.2886479953596135</v>
      </c>
      <c r="BT84" s="8">
        <v>2.3966764023658129</v>
      </c>
      <c r="BU84" s="8">
        <v>2.7997779076867291</v>
      </c>
      <c r="BV84" s="8">
        <v>3.1846030704898767</v>
      </c>
      <c r="BW84" s="8">
        <v>2.8153969295101229</v>
      </c>
      <c r="BX84" s="8">
        <v>0</v>
      </c>
      <c r="BY84" s="8">
        <v>12</v>
      </c>
      <c r="BZ84" s="8">
        <v>12</v>
      </c>
      <c r="CA84" s="8">
        <v>12</v>
      </c>
      <c r="CB84" s="8">
        <v>11</v>
      </c>
      <c r="CC84" s="8">
        <v>6</v>
      </c>
      <c r="CD84" s="8">
        <v>0</v>
      </c>
      <c r="CE84" s="8">
        <v>53</v>
      </c>
      <c r="CF84" s="9">
        <v>3.0291130860129254</v>
      </c>
      <c r="CG84" s="9">
        <v>2.4464985033566711</v>
      </c>
      <c r="CH84" s="9">
        <v>2.3008829571464324</v>
      </c>
      <c r="CI84" s="9">
        <v>2.2546536750573862</v>
      </c>
      <c r="CJ84" s="9">
        <v>2.5770111880470634</v>
      </c>
      <c r="CK84" s="9">
        <v>4.0018677798045594</v>
      </c>
      <c r="CL84" s="9">
        <v>5.3899728105749647</v>
      </c>
      <c r="CM84" s="9">
        <v>2.6986711061580975</v>
      </c>
      <c r="CN84" s="9">
        <v>2.215985524853644</v>
      </c>
      <c r="CO84" s="9">
        <v>2.0189572880698465</v>
      </c>
      <c r="CP84" s="9">
        <v>1.9830265989218399</v>
      </c>
      <c r="CQ84" s="9">
        <v>2.7309902338615126</v>
      </c>
      <c r="CR84" s="9">
        <v>4.5220113501074817</v>
      </c>
      <c r="CS84" s="9">
        <v>5.8303578980275788</v>
      </c>
      <c r="CT84" s="9">
        <v>2.9981728244188255</v>
      </c>
      <c r="CU84" s="9">
        <v>2.3232272594632635</v>
      </c>
      <c r="CV84" s="9">
        <v>2.0847308397732185</v>
      </c>
      <c r="CW84" s="9">
        <v>1.9353386608862135</v>
      </c>
      <c r="CX84" s="9">
        <v>2.3681041468764561</v>
      </c>
      <c r="CY84" s="9">
        <v>4.3040606669597654</v>
      </c>
      <c r="CZ84" s="9">
        <v>4.9863656016222588</v>
      </c>
      <c r="DA84" s="9">
        <v>2.5140212812758929</v>
      </c>
      <c r="DB84" s="9">
        <v>2.0239459908751027</v>
      </c>
      <c r="DC84" s="9">
        <v>1.87829463244501</v>
      </c>
      <c r="DD84" s="9">
        <v>1.7926429946546176</v>
      </c>
      <c r="DE84" s="9">
        <v>2.3429963551992969</v>
      </c>
      <c r="DF84" s="9">
        <v>4.3575934588469325</v>
      </c>
      <c r="DG84" s="9">
        <v>5.0905052867031442</v>
      </c>
      <c r="DH84" s="9">
        <v>5.2675113423806179</v>
      </c>
      <c r="DI84" s="9">
        <v>4.7324886576193812</v>
      </c>
      <c r="DJ84" s="9"/>
      <c r="DK84" s="9">
        <v>22</v>
      </c>
      <c r="DL84" s="9">
        <v>22</v>
      </c>
      <c r="DM84" s="9">
        <v>21</v>
      </c>
      <c r="DN84" s="9">
        <v>20</v>
      </c>
      <c r="DO84" s="9">
        <v>10</v>
      </c>
      <c r="DP84" s="9"/>
      <c r="DQ84" s="9">
        <v>95</v>
      </c>
      <c r="DR84" s="8">
        <f>+SUM(Tabla2[[#This Row],[1 gral]:[1 gral]])</f>
        <v>3.0291130860129254</v>
      </c>
      <c r="DS84" s="8">
        <f>+SUM(Tabla2[[#This Row],[1 temm]:[1 temm]])</f>
        <v>1.6522435014615955</v>
      </c>
      <c r="DT84" s="8">
        <f>+SUM(Tabla2[[#This Row],[1 porta]:[1 porta]])</f>
        <v>0</v>
      </c>
      <c r="DU84" s="8">
        <f>+Tabla2[[#This Row],[GRAL]]-(Tabla2[[#This Row],[TEMM14]]+Tabla2[[#This Row],[PORTA15]])</f>
        <v>1.3768695845513299</v>
      </c>
    </row>
    <row r="85" spans="1:125" hidden="1" x14ac:dyDescent="0.2">
      <c r="A85" s="84" t="s">
        <v>456</v>
      </c>
      <c r="B85" s="84" t="s">
        <v>483</v>
      </c>
      <c r="C85" s="11" t="s">
        <v>453</v>
      </c>
      <c r="D85" s="11">
        <v>2093092</v>
      </c>
      <c r="E85" s="11" t="s">
        <v>435</v>
      </c>
      <c r="F85" s="11" t="s">
        <v>478</v>
      </c>
      <c r="G85" s="43" t="s">
        <v>281</v>
      </c>
      <c r="H85" s="10">
        <v>0.12059800083105997</v>
      </c>
      <c r="I85" s="10">
        <v>0.16789847649467127</v>
      </c>
      <c r="J85" s="10">
        <v>0.1562207193579257</v>
      </c>
      <c r="K85" s="10">
        <v>0.15006952754027642</v>
      </c>
      <c r="L85" s="10">
        <v>0.16374086192033718</v>
      </c>
      <c r="M85" s="10">
        <v>0.14743099948912008</v>
      </c>
      <c r="N85" s="10">
        <v>9.4041414366609274E-2</v>
      </c>
      <c r="O85" s="10">
        <v>0.13456875821488182</v>
      </c>
      <c r="P85" s="10">
        <v>0.15707930258261715</v>
      </c>
      <c r="Q85" s="10">
        <v>0.1366666184667969</v>
      </c>
      <c r="R85" s="10">
        <v>0.15251213813195408</v>
      </c>
      <c r="S85" s="10">
        <v>0.16144595225895933</v>
      </c>
      <c r="T85" s="10">
        <v>0.17017767644203829</v>
      </c>
      <c r="U85" s="10">
        <v>8.7549553902752458E-2</v>
      </c>
      <c r="V85" s="10">
        <v>0.13996353763244257</v>
      </c>
      <c r="W85" s="10">
        <v>0.16408049301484401</v>
      </c>
      <c r="X85" s="10">
        <v>0.14972686275640418</v>
      </c>
      <c r="Y85" s="10">
        <v>0.1463085242518728</v>
      </c>
      <c r="Z85" s="10">
        <v>0.15374768661164634</v>
      </c>
      <c r="AA85" s="10">
        <v>0.16100337430944414</v>
      </c>
      <c r="AB85" s="10">
        <v>8.5169521423346065E-2</v>
      </c>
      <c r="AC85" s="10">
        <v>0.14462106218700971</v>
      </c>
      <c r="AD85" s="10">
        <v>0.15927880292158872</v>
      </c>
      <c r="AE85" s="10">
        <v>0.15323481470929368</v>
      </c>
      <c r="AF85" s="10">
        <v>0.13729451948603222</v>
      </c>
      <c r="AG85" s="10">
        <v>0.15608969598895889</v>
      </c>
      <c r="AH85" s="10">
        <v>0.163037646001296</v>
      </c>
      <c r="AI85" s="10">
        <v>8.6443458705820736E-2</v>
      </c>
      <c r="AJ85" s="10">
        <v>0</v>
      </c>
      <c r="AK85" s="10">
        <v>0</v>
      </c>
      <c r="AL85" s="10">
        <v>0</v>
      </c>
      <c r="AM85" s="6">
        <v>1</v>
      </c>
      <c r="AN85" s="8">
        <v>1</v>
      </c>
      <c r="AO85" s="8">
        <v>1</v>
      </c>
      <c r="AP85" s="8">
        <v>1</v>
      </c>
      <c r="AQ85" s="8">
        <v>0</v>
      </c>
      <c r="AR85" s="8">
        <v>0</v>
      </c>
      <c r="AS85" s="64">
        <v>4</v>
      </c>
      <c r="AT85" s="8">
        <v>0.55074783382053183</v>
      </c>
      <c r="AU85" s="8">
        <v>0.44481790970121293</v>
      </c>
      <c r="AV85" s="8">
        <v>0.41834235584480589</v>
      </c>
      <c r="AW85" s="8">
        <v>0.40993703182861563</v>
      </c>
      <c r="AX85" s="8">
        <v>0.46854748873582969</v>
      </c>
      <c r="AY85" s="8">
        <v>0.72761232360082895</v>
      </c>
      <c r="AZ85" s="8">
        <v>0.97999505646817542</v>
      </c>
      <c r="BA85" s="8">
        <v>0.49066747384692683</v>
      </c>
      <c r="BB85" s="8">
        <v>0.40290645906429884</v>
      </c>
      <c r="BC85" s="8">
        <v>0.36708314328542663</v>
      </c>
      <c r="BD85" s="8">
        <v>0.36055029071306177</v>
      </c>
      <c r="BE85" s="8">
        <v>0.49654367888391138</v>
      </c>
      <c r="BF85" s="8">
        <v>0.82218388183772395</v>
      </c>
      <c r="BG85" s="8">
        <v>1.0600650723686507</v>
      </c>
      <c r="BH85" s="8">
        <v>0.57108053798453817</v>
      </c>
      <c r="BI85" s="8">
        <v>0.44251947799300262</v>
      </c>
      <c r="BJ85" s="8">
        <v>0.39709158852823206</v>
      </c>
      <c r="BK85" s="8">
        <v>0.36863593540689782</v>
      </c>
      <c r="BL85" s="8">
        <v>0.45106745654789643</v>
      </c>
      <c r="BM85" s="8">
        <v>0.81982107942090765</v>
      </c>
      <c r="BN85" s="8">
        <v>0.94978392411852541</v>
      </c>
      <c r="BO85" s="8">
        <v>0.50280425625517855</v>
      </c>
      <c r="BP85" s="8">
        <v>0.40478919817502057</v>
      </c>
      <c r="BQ85" s="8">
        <v>0.37565892648900201</v>
      </c>
      <c r="BR85" s="8">
        <v>0.35852859893092354</v>
      </c>
      <c r="BS85" s="8">
        <v>0.46859927103985943</v>
      </c>
      <c r="BT85" s="8">
        <v>0.87151869176938646</v>
      </c>
      <c r="BU85" s="8">
        <v>1.0181010573406288</v>
      </c>
      <c r="BV85" s="8">
        <v>0</v>
      </c>
      <c r="BW85" s="8">
        <v>0</v>
      </c>
      <c r="BX85" s="8">
        <v>0</v>
      </c>
      <c r="BY85" s="8">
        <v>4</v>
      </c>
      <c r="BZ85" s="8">
        <v>4</v>
      </c>
      <c r="CA85" s="8">
        <v>4</v>
      </c>
      <c r="CB85" s="8">
        <v>4</v>
      </c>
      <c r="CC85" s="8">
        <v>0</v>
      </c>
      <c r="CD85" s="8">
        <v>0</v>
      </c>
      <c r="CE85" s="8">
        <v>16</v>
      </c>
      <c r="CF85" s="9">
        <v>1.3597806269272565</v>
      </c>
      <c r="CG85" s="9">
        <v>1.1687387733224004</v>
      </c>
      <c r="CH85" s="9">
        <v>1.0974910200087389</v>
      </c>
      <c r="CI85" s="9">
        <v>1.0724278491546615</v>
      </c>
      <c r="CJ85" s="9">
        <v>1.217972711575954</v>
      </c>
      <c r="CK85" s="9">
        <v>1.7845587275909853</v>
      </c>
      <c r="CL85" s="9">
        <v>2.2990302914200038</v>
      </c>
      <c r="CM85" s="9">
        <v>1.2385705743704674</v>
      </c>
      <c r="CN85" s="9">
        <v>1.0636188354772895</v>
      </c>
      <c r="CO85" s="9">
        <v>0.96260369085900677</v>
      </c>
      <c r="CP85" s="9">
        <v>0.96375029223634301</v>
      </c>
      <c r="CQ85" s="9">
        <v>1.2786692297477598</v>
      </c>
      <c r="CR85" s="9">
        <v>2.0200914105769172</v>
      </c>
      <c r="CS85" s="9">
        <v>2.4726959667322164</v>
      </c>
      <c r="CT85" s="9">
        <v>1.4248947480976533</v>
      </c>
      <c r="CU85" s="9">
        <v>1.1597493184990999</v>
      </c>
      <c r="CV85" s="9">
        <v>1.0431829369449264</v>
      </c>
      <c r="CW85" s="9">
        <v>0.97573937891739293</v>
      </c>
      <c r="CX85" s="9">
        <v>1.1686494638444134</v>
      </c>
      <c r="CY85" s="9">
        <v>2.0056008030064865</v>
      </c>
      <c r="CZ85" s="9">
        <v>2.2221833506900284</v>
      </c>
      <c r="DA85" s="9">
        <v>1.2759306387611615</v>
      </c>
      <c r="DB85" s="9">
        <v>1.0700544988153848</v>
      </c>
      <c r="DC85" s="9">
        <v>0.9984673993095482</v>
      </c>
      <c r="DD85" s="9">
        <v>0.94398386708061022</v>
      </c>
      <c r="DE85" s="9">
        <v>1.2104380558286425</v>
      </c>
      <c r="DF85" s="9">
        <v>2.1239547024824157</v>
      </c>
      <c r="DG85" s="9">
        <v>2.3771708377222356</v>
      </c>
      <c r="DH85" s="9">
        <v>0</v>
      </c>
      <c r="DI85" s="9">
        <v>0</v>
      </c>
      <c r="DJ85" s="9"/>
      <c r="DK85" s="9">
        <v>10</v>
      </c>
      <c r="DL85" s="9">
        <v>10</v>
      </c>
      <c r="DM85" s="9">
        <v>10</v>
      </c>
      <c r="DN85" s="9">
        <v>10</v>
      </c>
      <c r="DO85" s="9">
        <v>0</v>
      </c>
      <c r="DP85" s="9"/>
      <c r="DQ85" s="9">
        <v>40</v>
      </c>
      <c r="DR85" s="8">
        <f>+SUM(Tabla2[[#This Row],[1 gral]:[1 gral]])</f>
        <v>1.3597806269272565</v>
      </c>
      <c r="DS85" s="8">
        <f>+SUM(Tabla2[[#This Row],[1 temm]:[1 temm]])</f>
        <v>0.55074783382053183</v>
      </c>
      <c r="DT85" s="8">
        <f>+SUM(Tabla2[[#This Row],[1 porta]:[1 porta]])</f>
        <v>0.12059800083105997</v>
      </c>
      <c r="DU85" s="8">
        <f>+Tabla2[[#This Row],[GRAL]]-(Tabla2[[#This Row],[TEMM14]]+Tabla2[[#This Row],[PORTA15]])</f>
        <v>0.68843479227566473</v>
      </c>
    </row>
    <row r="86" spans="1:125" x14ac:dyDescent="0.2">
      <c r="A86" s="84" t="s">
        <v>99</v>
      </c>
      <c r="B86" s="84" t="s">
        <v>482</v>
      </c>
      <c r="C86" s="11" t="s">
        <v>126</v>
      </c>
      <c r="D86" s="11">
        <v>2093110</v>
      </c>
      <c r="E86" s="11" t="s">
        <v>6</v>
      </c>
      <c r="F86" s="11" t="s">
        <v>321</v>
      </c>
      <c r="G86" s="43" t="s">
        <v>280</v>
      </c>
      <c r="H86" s="10">
        <v>0.12059800083105997</v>
      </c>
      <c r="I86" s="10">
        <v>0.16789847649467127</v>
      </c>
      <c r="J86" s="10">
        <v>0.1562207193579257</v>
      </c>
      <c r="K86" s="10">
        <v>0.15006952754027642</v>
      </c>
      <c r="L86" s="10">
        <v>0.16374086192033718</v>
      </c>
      <c r="M86" s="10">
        <v>0.14743099948912008</v>
      </c>
      <c r="N86" s="10">
        <v>9.4041414366609274E-2</v>
      </c>
      <c r="O86" s="10">
        <v>0.13456875821488182</v>
      </c>
      <c r="P86" s="10">
        <v>0.15707930258261715</v>
      </c>
      <c r="Q86" s="10">
        <v>0.1366666184667969</v>
      </c>
      <c r="R86" s="10">
        <v>0.15251213813195408</v>
      </c>
      <c r="S86" s="10">
        <v>0.16144595225895933</v>
      </c>
      <c r="T86" s="10">
        <v>0.17017767644203829</v>
      </c>
      <c r="U86" s="10">
        <v>8.7549553902752458E-2</v>
      </c>
      <c r="V86" s="10">
        <v>0.13996353763244257</v>
      </c>
      <c r="W86" s="10">
        <v>0.16408049301484401</v>
      </c>
      <c r="X86" s="10">
        <v>0.14972686275640418</v>
      </c>
      <c r="Y86" s="10">
        <v>0.1463085242518728</v>
      </c>
      <c r="Z86" s="10">
        <v>0.15374768661164634</v>
      </c>
      <c r="AA86" s="10">
        <v>0.16100337430944414</v>
      </c>
      <c r="AB86" s="10">
        <v>8.5169521423346065E-2</v>
      </c>
      <c r="AC86" s="10">
        <v>0.14462106218700971</v>
      </c>
      <c r="AD86" s="10">
        <v>0.15927880292158872</v>
      </c>
      <c r="AE86" s="10">
        <v>0.15323481470929368</v>
      </c>
      <c r="AF86" s="10">
        <v>0.13729451948603222</v>
      </c>
      <c r="AG86" s="10">
        <v>0.15608969598895889</v>
      </c>
      <c r="AH86" s="10">
        <v>0.163037646001296</v>
      </c>
      <c r="AI86" s="10">
        <v>8.6443458705820736E-2</v>
      </c>
      <c r="AJ86" s="10">
        <v>0.49060673664580357</v>
      </c>
      <c r="AK86" s="10">
        <v>0.50939326335419632</v>
      </c>
      <c r="AL86" s="10">
        <v>0</v>
      </c>
      <c r="AM86" s="6">
        <v>1</v>
      </c>
      <c r="AN86" s="8">
        <v>1</v>
      </c>
      <c r="AO86" s="8">
        <v>1</v>
      </c>
      <c r="AP86" s="8">
        <v>1</v>
      </c>
      <c r="AQ86" s="8">
        <v>1</v>
      </c>
      <c r="AR86" s="8">
        <v>0</v>
      </c>
      <c r="AS86" s="87">
        <v>5</v>
      </c>
      <c r="AT86" s="8">
        <v>1.1014956676410637</v>
      </c>
      <c r="AU86" s="8">
        <v>0.88963581940242586</v>
      </c>
      <c r="AV86" s="8">
        <v>0.83668471168961178</v>
      </c>
      <c r="AW86" s="8">
        <v>0.81987406365723126</v>
      </c>
      <c r="AX86" s="8">
        <v>0.93709497747165937</v>
      </c>
      <c r="AY86" s="8">
        <v>1.4552246472016579</v>
      </c>
      <c r="AZ86" s="8">
        <v>1.9599901129363508</v>
      </c>
      <c r="BA86" s="8">
        <v>0.98133494769385365</v>
      </c>
      <c r="BB86" s="8">
        <v>0.80581291812859768</v>
      </c>
      <c r="BC86" s="8">
        <v>0.73416628657085325</v>
      </c>
      <c r="BD86" s="8">
        <v>0.72110058142612354</v>
      </c>
      <c r="BE86" s="8">
        <v>0.99308735776782275</v>
      </c>
      <c r="BF86" s="8">
        <v>1.6443677636754479</v>
      </c>
      <c r="BG86" s="8">
        <v>2.1201301447373013</v>
      </c>
      <c r="BH86" s="8">
        <v>0.99939094147294183</v>
      </c>
      <c r="BI86" s="8">
        <v>0.77440908648775464</v>
      </c>
      <c r="BJ86" s="8">
        <v>0.69491027992440613</v>
      </c>
      <c r="BK86" s="8">
        <v>0.64511288696207114</v>
      </c>
      <c r="BL86" s="8">
        <v>0.78936804895881874</v>
      </c>
      <c r="BM86" s="8">
        <v>1.4346868889865885</v>
      </c>
      <c r="BN86" s="8">
        <v>1.6621218672074194</v>
      </c>
      <c r="BO86" s="8">
        <v>0.87990744844656243</v>
      </c>
      <c r="BP86" s="8">
        <v>0.70838109680628603</v>
      </c>
      <c r="BQ86" s="8">
        <v>0.65740312135575352</v>
      </c>
      <c r="BR86" s="8">
        <v>0.62742504812911615</v>
      </c>
      <c r="BS86" s="8">
        <v>0.82004872431975406</v>
      </c>
      <c r="BT86" s="8">
        <v>1.5251577105964262</v>
      </c>
      <c r="BU86" s="8">
        <v>1.7816768503461005</v>
      </c>
      <c r="BV86" s="8">
        <v>1.1016947985991348</v>
      </c>
      <c r="BW86" s="8">
        <v>0.89830520140086512</v>
      </c>
      <c r="BX86" s="8">
        <v>0</v>
      </c>
      <c r="BY86" s="8">
        <v>8</v>
      </c>
      <c r="BZ86" s="8">
        <v>8</v>
      </c>
      <c r="CA86" s="8">
        <v>7</v>
      </c>
      <c r="CB86" s="8">
        <v>7</v>
      </c>
      <c r="CC86" s="8">
        <v>2</v>
      </c>
      <c r="CD86" s="8">
        <v>0</v>
      </c>
      <c r="CE86" s="8">
        <v>32</v>
      </c>
      <c r="CF86" s="9">
        <v>2.0482154192029212</v>
      </c>
      <c r="CG86" s="9">
        <v>1.7247611604489164</v>
      </c>
      <c r="CH86" s="9">
        <v>1.6204189648147462</v>
      </c>
      <c r="CI86" s="9">
        <v>1.5848491389404311</v>
      </c>
      <c r="CJ86" s="9">
        <v>1.8036570724957413</v>
      </c>
      <c r="CK86" s="9">
        <v>2.6940741320920214</v>
      </c>
      <c r="CL86" s="9">
        <v>3.5240241120052231</v>
      </c>
      <c r="CM86" s="9">
        <v>1.8519049166791257</v>
      </c>
      <c r="CN86" s="9">
        <v>1.5672519093076631</v>
      </c>
      <c r="CO86" s="9">
        <v>1.42145761996579</v>
      </c>
      <c r="CP86" s="9">
        <v>1.4144381556276704</v>
      </c>
      <c r="CQ86" s="9">
        <v>1.8993488283526492</v>
      </c>
      <c r="CR86" s="9">
        <v>3.0478212628740722</v>
      </c>
      <c r="CS86" s="9">
        <v>3.7977773071930301</v>
      </c>
      <c r="CT86" s="9">
        <v>1.853205151586057</v>
      </c>
      <c r="CU86" s="9">
        <v>1.4916389269938519</v>
      </c>
      <c r="CV86" s="9">
        <v>1.3410016283411004</v>
      </c>
      <c r="CW86" s="9">
        <v>1.2522163304725662</v>
      </c>
      <c r="CX86" s="9">
        <v>1.5069500562553357</v>
      </c>
      <c r="CY86" s="9">
        <v>2.6204666125721672</v>
      </c>
      <c r="CZ86" s="9">
        <v>2.9345212937789222</v>
      </c>
      <c r="DA86" s="9">
        <v>1.6530338309525454</v>
      </c>
      <c r="DB86" s="9">
        <v>1.3736463974466504</v>
      </c>
      <c r="DC86" s="9">
        <v>1.2802115941762997</v>
      </c>
      <c r="DD86" s="9">
        <v>1.2128803162788029</v>
      </c>
      <c r="DE86" s="9">
        <v>1.5618875091085371</v>
      </c>
      <c r="DF86" s="9">
        <v>2.7775937213094553</v>
      </c>
      <c r="DG86" s="9">
        <v>3.1407466307277074</v>
      </c>
      <c r="DH86" s="9">
        <v>2.1431489345445058</v>
      </c>
      <c r="DI86" s="9">
        <v>1.8568510654554939</v>
      </c>
      <c r="DJ86" s="9"/>
      <c r="DK86" s="9">
        <v>15</v>
      </c>
      <c r="DL86" s="9">
        <v>15</v>
      </c>
      <c r="DM86" s="9">
        <v>13</v>
      </c>
      <c r="DN86" s="9">
        <v>13</v>
      </c>
      <c r="DO86" s="9">
        <v>4</v>
      </c>
      <c r="DP86" s="9"/>
      <c r="DQ86" s="9">
        <v>60</v>
      </c>
      <c r="DR86" s="8">
        <f>+SUM(Tabla2[[#This Row],[1 gral]:[1 gral]])</f>
        <v>2.0482154192029212</v>
      </c>
      <c r="DS86" s="8">
        <f>+SUM(Tabla2[[#This Row],[1 temm]:[1 temm]])</f>
        <v>1.1014956676410637</v>
      </c>
      <c r="DT86" s="8">
        <f>+SUM(Tabla2[[#This Row],[1 porta]:[1 porta]])</f>
        <v>0.12059800083105997</v>
      </c>
      <c r="DU86" s="8">
        <f>+Tabla2[[#This Row],[GRAL]]-(Tabla2[[#This Row],[TEMM14]]+Tabla2[[#This Row],[PORTA15]])</f>
        <v>0.82612175073079763</v>
      </c>
    </row>
    <row r="87" spans="1:125" hidden="1" x14ac:dyDescent="0.2">
      <c r="A87" s="84" t="s">
        <v>455</v>
      </c>
      <c r="B87" s="84" t="s">
        <v>483</v>
      </c>
      <c r="C87" s="11" t="s">
        <v>451</v>
      </c>
      <c r="D87" s="11">
        <v>2093123</v>
      </c>
      <c r="E87" s="11" t="s">
        <v>436</v>
      </c>
      <c r="F87" s="11" t="s">
        <v>460</v>
      </c>
      <c r="G87" s="43" t="s">
        <v>280</v>
      </c>
      <c r="H87" s="10">
        <v>0.12059800083105997</v>
      </c>
      <c r="I87" s="10">
        <v>0.16789847649467127</v>
      </c>
      <c r="J87" s="10">
        <v>0.1562207193579257</v>
      </c>
      <c r="K87" s="10">
        <v>0.15006952754027642</v>
      </c>
      <c r="L87" s="10">
        <v>0.16374086192033718</v>
      </c>
      <c r="M87" s="10">
        <v>0.14743099948912008</v>
      </c>
      <c r="N87" s="10">
        <v>9.4041414366609274E-2</v>
      </c>
      <c r="O87" s="10">
        <v>0.13456875821488182</v>
      </c>
      <c r="P87" s="10">
        <v>0.15707930258261715</v>
      </c>
      <c r="Q87" s="10">
        <v>0.1366666184667969</v>
      </c>
      <c r="R87" s="10">
        <v>0.15251213813195408</v>
      </c>
      <c r="S87" s="10">
        <v>0.16144595225895933</v>
      </c>
      <c r="T87" s="10">
        <v>0.17017767644203829</v>
      </c>
      <c r="U87" s="10">
        <v>8.7549553902752458E-2</v>
      </c>
      <c r="V87" s="10">
        <v>0.13996353763244257</v>
      </c>
      <c r="W87" s="10">
        <v>0.16408049301484401</v>
      </c>
      <c r="X87" s="10">
        <v>0.14972686275640418</v>
      </c>
      <c r="Y87" s="10">
        <v>0.1463085242518728</v>
      </c>
      <c r="Z87" s="10">
        <v>0.15374768661164634</v>
      </c>
      <c r="AA87" s="10">
        <v>0.16100337430944414</v>
      </c>
      <c r="AB87" s="10">
        <v>8.5169521423346065E-2</v>
      </c>
      <c r="AC87" s="10">
        <v>0.14462106218700971</v>
      </c>
      <c r="AD87" s="10">
        <v>0.15927880292158872</v>
      </c>
      <c r="AE87" s="10">
        <v>0.15323481470929368</v>
      </c>
      <c r="AF87" s="10">
        <v>0.13729451948603222</v>
      </c>
      <c r="AG87" s="10">
        <v>0.15608969598895889</v>
      </c>
      <c r="AH87" s="10">
        <v>0.163037646001296</v>
      </c>
      <c r="AI87" s="10">
        <v>8.6443458705820736E-2</v>
      </c>
      <c r="AJ87" s="10">
        <v>0</v>
      </c>
      <c r="AK87" s="10">
        <v>0</v>
      </c>
      <c r="AL87" s="10">
        <v>0</v>
      </c>
      <c r="AM87" s="6">
        <v>1</v>
      </c>
      <c r="AN87" s="8">
        <v>1</v>
      </c>
      <c r="AO87" s="8">
        <v>1</v>
      </c>
      <c r="AP87" s="8">
        <v>1</v>
      </c>
      <c r="AQ87" s="8">
        <v>0</v>
      </c>
      <c r="AR87" s="8">
        <v>0</v>
      </c>
      <c r="AS87" s="64">
        <v>4</v>
      </c>
      <c r="AT87" s="8">
        <v>0.96380870918593065</v>
      </c>
      <c r="AU87" s="8">
        <v>0.7784313419771226</v>
      </c>
      <c r="AV87" s="8">
        <v>0.73209912272841027</v>
      </c>
      <c r="AW87" s="8">
        <v>0.71738980570007738</v>
      </c>
      <c r="AX87" s="8">
        <v>0.81995810528770197</v>
      </c>
      <c r="AY87" s="8">
        <v>1.2733215663014508</v>
      </c>
      <c r="AZ87" s="8">
        <v>1.7149913488193069</v>
      </c>
      <c r="BA87" s="8">
        <v>0.85866807923212196</v>
      </c>
      <c r="BB87" s="8">
        <v>0.70508630336252298</v>
      </c>
      <c r="BC87" s="8">
        <v>0.64239550074949658</v>
      </c>
      <c r="BD87" s="8">
        <v>0.63096300874785816</v>
      </c>
      <c r="BE87" s="8">
        <v>0.86895143804684494</v>
      </c>
      <c r="BF87" s="8">
        <v>1.438821793216017</v>
      </c>
      <c r="BG87" s="8">
        <v>1.8551138766451387</v>
      </c>
      <c r="BH87" s="8">
        <v>0.99939094147294183</v>
      </c>
      <c r="BI87" s="8">
        <v>0.77440908648775464</v>
      </c>
      <c r="BJ87" s="8">
        <v>0.69491027992440613</v>
      </c>
      <c r="BK87" s="8">
        <v>0.64511288696207114</v>
      </c>
      <c r="BL87" s="8">
        <v>0.78936804895881874</v>
      </c>
      <c r="BM87" s="8">
        <v>1.4346868889865885</v>
      </c>
      <c r="BN87" s="8">
        <v>1.6621218672074194</v>
      </c>
      <c r="BO87" s="8">
        <v>0.87990744844656243</v>
      </c>
      <c r="BP87" s="8">
        <v>0.70838109680628603</v>
      </c>
      <c r="BQ87" s="8">
        <v>0.65740312135575352</v>
      </c>
      <c r="BR87" s="8">
        <v>0.62742504812911615</v>
      </c>
      <c r="BS87" s="8">
        <v>0.82004872431975406</v>
      </c>
      <c r="BT87" s="8">
        <v>1.5251577105964262</v>
      </c>
      <c r="BU87" s="8">
        <v>1.7816768503461005</v>
      </c>
      <c r="BV87" s="8">
        <v>1.0414541359453708</v>
      </c>
      <c r="BW87" s="8">
        <v>0.95854586405462894</v>
      </c>
      <c r="BX87" s="8">
        <v>0</v>
      </c>
      <c r="BY87" s="8">
        <v>7</v>
      </c>
      <c r="BZ87" s="8">
        <v>7</v>
      </c>
      <c r="CA87" s="8">
        <v>7</v>
      </c>
      <c r="CB87" s="8">
        <v>7</v>
      </c>
      <c r="CC87" s="8">
        <v>2</v>
      </c>
      <c r="CD87" s="8">
        <v>0</v>
      </c>
      <c r="CE87" s="8">
        <v>30</v>
      </c>
      <c r="CF87" s="9">
        <v>1.7728415022926554</v>
      </c>
      <c r="CG87" s="9">
        <v>1.5023522055983101</v>
      </c>
      <c r="CH87" s="9">
        <v>1.4112477868923432</v>
      </c>
      <c r="CI87" s="9">
        <v>1.3798806230261231</v>
      </c>
      <c r="CJ87" s="9">
        <v>1.5693833281278264</v>
      </c>
      <c r="CK87" s="9">
        <v>2.3302679702916071</v>
      </c>
      <c r="CL87" s="9">
        <v>3.0340265837711353</v>
      </c>
      <c r="CM87" s="9">
        <v>1.6065711797556623</v>
      </c>
      <c r="CN87" s="9">
        <v>1.3657986797755137</v>
      </c>
      <c r="CO87" s="9">
        <v>1.2379160483230767</v>
      </c>
      <c r="CP87" s="9">
        <v>1.2341630102711394</v>
      </c>
      <c r="CQ87" s="9">
        <v>1.6510769889106935</v>
      </c>
      <c r="CR87" s="9">
        <v>2.6367293219552104</v>
      </c>
      <c r="CS87" s="9">
        <v>3.2677447710087044</v>
      </c>
      <c r="CT87" s="9">
        <v>1.853205151586057</v>
      </c>
      <c r="CU87" s="9">
        <v>1.4916389269938519</v>
      </c>
      <c r="CV87" s="9">
        <v>1.3410016283411004</v>
      </c>
      <c r="CW87" s="9">
        <v>1.2522163304725662</v>
      </c>
      <c r="CX87" s="9">
        <v>1.5069500562553357</v>
      </c>
      <c r="CY87" s="9">
        <v>2.6204666125721672</v>
      </c>
      <c r="CZ87" s="9">
        <v>2.9345212937789222</v>
      </c>
      <c r="DA87" s="9">
        <v>1.6530338309525454</v>
      </c>
      <c r="DB87" s="9">
        <v>1.3736463974466504</v>
      </c>
      <c r="DC87" s="9">
        <v>1.2802115941762997</v>
      </c>
      <c r="DD87" s="9">
        <v>1.2128803162788029</v>
      </c>
      <c r="DE87" s="9">
        <v>1.5618875091085371</v>
      </c>
      <c r="DF87" s="9">
        <v>2.7775937213094553</v>
      </c>
      <c r="DG87" s="9">
        <v>3.1407466307277074</v>
      </c>
      <c r="DH87" s="9">
        <v>1.1016947985991348</v>
      </c>
      <c r="DI87" s="9">
        <v>0.89830520140086512</v>
      </c>
      <c r="DJ87" s="9"/>
      <c r="DK87" s="9">
        <v>13</v>
      </c>
      <c r="DL87" s="9">
        <v>13</v>
      </c>
      <c r="DM87" s="9">
        <v>13</v>
      </c>
      <c r="DN87" s="9">
        <v>13</v>
      </c>
      <c r="DO87" s="9">
        <v>2</v>
      </c>
      <c r="DP87" s="9"/>
      <c r="DQ87" s="9">
        <v>54</v>
      </c>
      <c r="DR87" s="8">
        <f>+SUM(Tabla2[[#This Row],[1 gral]:[1 gral]])</f>
        <v>1.7728415022926554</v>
      </c>
      <c r="DS87" s="8">
        <f>+SUM(Tabla2[[#This Row],[1 temm]:[1 temm]])</f>
        <v>0.96380870918593065</v>
      </c>
      <c r="DT87" s="8">
        <f>+SUM(Tabla2[[#This Row],[1 porta]:[1 porta]])</f>
        <v>0.12059800083105997</v>
      </c>
      <c r="DU87" s="8">
        <f>+Tabla2[[#This Row],[GRAL]]-(Tabla2[[#This Row],[TEMM14]]+Tabla2[[#This Row],[PORTA15]])</f>
        <v>0.68843479227566484</v>
      </c>
    </row>
    <row r="88" spans="1:125" hidden="1" x14ac:dyDescent="0.2">
      <c r="A88" s="84" t="s">
        <v>455</v>
      </c>
      <c r="B88" s="84" t="s">
        <v>483</v>
      </c>
      <c r="C88" s="11" t="s">
        <v>451</v>
      </c>
      <c r="D88" s="11">
        <v>2093130</v>
      </c>
      <c r="E88" s="11" t="s">
        <v>437</v>
      </c>
      <c r="F88" s="11" t="s">
        <v>476</v>
      </c>
      <c r="G88" s="43" t="s">
        <v>281</v>
      </c>
      <c r="H88" s="10">
        <v>0.12059800083105997</v>
      </c>
      <c r="I88" s="10">
        <v>0.16789847649467127</v>
      </c>
      <c r="J88" s="10">
        <v>0.1562207193579257</v>
      </c>
      <c r="K88" s="10">
        <v>0.15006952754027642</v>
      </c>
      <c r="L88" s="10">
        <v>0.16374086192033718</v>
      </c>
      <c r="M88" s="10">
        <v>0.14743099948912008</v>
      </c>
      <c r="N88" s="10">
        <v>9.4041414366609274E-2</v>
      </c>
      <c r="O88" s="10">
        <v>0.13456875821488182</v>
      </c>
      <c r="P88" s="10">
        <v>0.15707930258261715</v>
      </c>
      <c r="Q88" s="10">
        <v>0.1366666184667969</v>
      </c>
      <c r="R88" s="10">
        <v>0.15251213813195408</v>
      </c>
      <c r="S88" s="10">
        <v>0.16144595225895933</v>
      </c>
      <c r="T88" s="10">
        <v>0.17017767644203829</v>
      </c>
      <c r="U88" s="10">
        <v>8.7549553902752458E-2</v>
      </c>
      <c r="V88" s="10">
        <v>0.13996353763244257</v>
      </c>
      <c r="W88" s="10">
        <v>0.16408049301484401</v>
      </c>
      <c r="X88" s="10">
        <v>0.14972686275640418</v>
      </c>
      <c r="Y88" s="10">
        <v>0.1463085242518728</v>
      </c>
      <c r="Z88" s="10">
        <v>0.15374768661164634</v>
      </c>
      <c r="AA88" s="10">
        <v>0.16100337430944414</v>
      </c>
      <c r="AB88" s="10">
        <v>8.5169521423346065E-2</v>
      </c>
      <c r="AC88" s="10">
        <v>0.14462106218700971</v>
      </c>
      <c r="AD88" s="10">
        <v>0.15927880292158872</v>
      </c>
      <c r="AE88" s="10">
        <v>0.15323481470929368</v>
      </c>
      <c r="AF88" s="10">
        <v>0.13729451948603222</v>
      </c>
      <c r="AG88" s="10">
        <v>0.15608969598895889</v>
      </c>
      <c r="AH88" s="10">
        <v>0.163037646001296</v>
      </c>
      <c r="AI88" s="10">
        <v>8.6443458705820736E-2</v>
      </c>
      <c r="AJ88" s="10">
        <v>0</v>
      </c>
      <c r="AK88" s="10">
        <v>0</v>
      </c>
      <c r="AL88" s="10">
        <v>0</v>
      </c>
      <c r="AM88" s="6">
        <v>1</v>
      </c>
      <c r="AN88" s="8">
        <v>1</v>
      </c>
      <c r="AO88" s="8">
        <v>1</v>
      </c>
      <c r="AP88" s="8">
        <v>1</v>
      </c>
      <c r="AQ88" s="8">
        <v>0</v>
      </c>
      <c r="AR88" s="8">
        <v>0</v>
      </c>
      <c r="AS88" s="64">
        <v>4</v>
      </c>
      <c r="AT88" s="8">
        <v>0.5336588761964588</v>
      </c>
      <c r="AU88" s="8">
        <v>0.50151190877058094</v>
      </c>
      <c r="AV88" s="8">
        <v>0.46997748624153013</v>
      </c>
      <c r="AW88" s="8">
        <v>0.45752230141173816</v>
      </c>
      <c r="AX88" s="8">
        <v>0.51515147847220943</v>
      </c>
      <c r="AY88" s="8">
        <v>0.6931402421897418</v>
      </c>
      <c r="AZ88" s="8">
        <v>0.8290377067177408</v>
      </c>
      <c r="BA88" s="8">
        <v>0.50256936360007698</v>
      </c>
      <c r="BB88" s="8">
        <v>0.4592591468808413</v>
      </c>
      <c r="BC88" s="8">
        <v>0.41197897593086685</v>
      </c>
      <c r="BD88" s="8">
        <v>0.42292485616675041</v>
      </c>
      <c r="BE88" s="8">
        <v>0.53385371142189286</v>
      </c>
      <c r="BF88" s="8">
        <v>0.78681558782033123</v>
      </c>
      <c r="BG88" s="8">
        <v>0.88259835817924048</v>
      </c>
      <c r="BH88" s="8">
        <v>0.56827394112084617</v>
      </c>
      <c r="BI88" s="8">
        <v>0.49597010150959597</v>
      </c>
      <c r="BJ88" s="8">
        <v>0.44754555415257824</v>
      </c>
      <c r="BK88" s="8">
        <v>0.42278547580704617</v>
      </c>
      <c r="BL88" s="8">
        <v>0.49204827902256865</v>
      </c>
      <c r="BM88" s="8">
        <v>0.77586918387512482</v>
      </c>
      <c r="BN88" s="8">
        <v>0.79750746451224019</v>
      </c>
      <c r="BO88" s="8">
        <v>0.52172425437839354</v>
      </c>
      <c r="BP88" s="8">
        <v>0.46287070155285415</v>
      </c>
      <c r="BQ88" s="8">
        <v>0.43497900957604518</v>
      </c>
      <c r="BR88" s="8">
        <v>0.40619096868422488</v>
      </c>
      <c r="BS88" s="8">
        <v>0.50753914926885346</v>
      </c>
      <c r="BT88" s="8">
        <v>0.81667666482833579</v>
      </c>
      <c r="BU88" s="8">
        <v>0.85001925171129233</v>
      </c>
      <c r="BV88" s="8">
        <v>6.0240662653763821E-2</v>
      </c>
      <c r="BW88" s="8">
        <v>-6.0240662653763766E-2</v>
      </c>
      <c r="BX88" s="8">
        <v>0</v>
      </c>
      <c r="BY88" s="8">
        <v>4</v>
      </c>
      <c r="BZ88" s="8">
        <v>4</v>
      </c>
      <c r="CA88" s="8">
        <v>4</v>
      </c>
      <c r="CB88" s="8">
        <v>4</v>
      </c>
      <c r="CC88" s="8">
        <v>0</v>
      </c>
      <c r="CD88" s="8">
        <v>0</v>
      </c>
      <c r="CE88" s="8">
        <v>16</v>
      </c>
      <c r="CF88" s="9">
        <v>1.2220936684721235</v>
      </c>
      <c r="CG88" s="9">
        <v>1.057534295897097</v>
      </c>
      <c r="CH88" s="9">
        <v>0.99290543104753748</v>
      </c>
      <c r="CI88" s="9">
        <v>0.96994359119750762</v>
      </c>
      <c r="CJ88" s="9">
        <v>1.1008358393919966</v>
      </c>
      <c r="CK88" s="9">
        <v>1.602655646690778</v>
      </c>
      <c r="CL88" s="9">
        <v>2.0540315273029601</v>
      </c>
      <c r="CM88" s="9">
        <v>1.1159037059087356</v>
      </c>
      <c r="CN88" s="9">
        <v>0.96289222071121494</v>
      </c>
      <c r="CO88" s="9">
        <v>0.87083290503765021</v>
      </c>
      <c r="CP88" s="9">
        <v>0.87361271955807762</v>
      </c>
      <c r="CQ88" s="9">
        <v>1.1545333100267821</v>
      </c>
      <c r="CR88" s="9">
        <v>1.8145454401174863</v>
      </c>
      <c r="CS88" s="9">
        <v>2.207679698640054</v>
      </c>
      <c r="CT88" s="9">
        <v>1.282124613601519</v>
      </c>
      <c r="CU88" s="9">
        <v>1.0491194490008491</v>
      </c>
      <c r="CV88" s="9">
        <v>0.94391003981286836</v>
      </c>
      <c r="CW88" s="9">
        <v>0.88358039506566843</v>
      </c>
      <c r="CX88" s="9">
        <v>1.0558825997074393</v>
      </c>
      <c r="CY88" s="9">
        <v>1.8006455331512594</v>
      </c>
      <c r="CZ88" s="9">
        <v>1.9847373696603969</v>
      </c>
      <c r="DA88" s="9">
        <v>1.1502295746973668</v>
      </c>
      <c r="DB88" s="9">
        <v>0.96885719927162983</v>
      </c>
      <c r="DC88" s="9">
        <v>0.9045526676872977</v>
      </c>
      <c r="DD88" s="9">
        <v>0.85435171734787929</v>
      </c>
      <c r="DE88" s="9">
        <v>1.0932882380686777</v>
      </c>
      <c r="DF88" s="9">
        <v>1.906075029540069</v>
      </c>
      <c r="DG88" s="9">
        <v>2.1226455733870786</v>
      </c>
      <c r="DH88" s="9">
        <v>1.1016947985991348</v>
      </c>
      <c r="DI88" s="9">
        <v>0.89830520140086512</v>
      </c>
      <c r="DJ88" s="9"/>
      <c r="DK88" s="9">
        <v>9</v>
      </c>
      <c r="DL88" s="9">
        <v>9</v>
      </c>
      <c r="DM88" s="9">
        <v>9</v>
      </c>
      <c r="DN88" s="9">
        <v>9</v>
      </c>
      <c r="DO88" s="9">
        <v>2</v>
      </c>
      <c r="DP88" s="9"/>
      <c r="DQ88" s="9">
        <v>38</v>
      </c>
      <c r="DR88" s="8">
        <f>+SUM(Tabla2[[#This Row],[1 gral]:[1 gral]])</f>
        <v>1.2220936684721235</v>
      </c>
      <c r="DS88" s="8">
        <f>+SUM(Tabla2[[#This Row],[1 temm]:[1 temm]])</f>
        <v>0.5336588761964588</v>
      </c>
      <c r="DT88" s="8">
        <f>+SUM(Tabla2[[#This Row],[1 porta]:[1 porta]])</f>
        <v>0.12059800083105997</v>
      </c>
      <c r="DU88" s="8">
        <f>+Tabla2[[#This Row],[GRAL]]-(Tabla2[[#This Row],[TEMM14]]+Tabla2[[#This Row],[PORTA15]])</f>
        <v>0.56783679144460475</v>
      </c>
    </row>
    <row r="89" spans="1:125" hidden="1" x14ac:dyDescent="0.2">
      <c r="A89" s="84" t="s">
        <v>454</v>
      </c>
      <c r="B89" s="84" t="s">
        <v>483</v>
      </c>
      <c r="C89" s="11" t="s">
        <v>450</v>
      </c>
      <c r="D89" s="11">
        <v>2093137</v>
      </c>
      <c r="E89" s="11" t="s">
        <v>438</v>
      </c>
      <c r="F89" s="11" t="s">
        <v>459</v>
      </c>
      <c r="G89" s="43" t="s">
        <v>281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0.98121347329160713</v>
      </c>
      <c r="AK89" s="10">
        <v>1.0187865267083926</v>
      </c>
      <c r="AL89" s="10">
        <v>0</v>
      </c>
      <c r="AM89" s="6">
        <v>0</v>
      </c>
      <c r="AN89" s="8">
        <v>0</v>
      </c>
      <c r="AO89" s="8">
        <v>0</v>
      </c>
      <c r="AP89" s="8">
        <v>0</v>
      </c>
      <c r="AQ89" s="8">
        <v>2</v>
      </c>
      <c r="AR89" s="8">
        <v>0</v>
      </c>
      <c r="AS89" s="64">
        <v>2</v>
      </c>
      <c r="AT89" s="8">
        <v>0.68843479227566484</v>
      </c>
      <c r="AU89" s="8">
        <v>0.55602238712651619</v>
      </c>
      <c r="AV89" s="8">
        <v>0.52292794480600735</v>
      </c>
      <c r="AW89" s="8">
        <v>0.51242128978576951</v>
      </c>
      <c r="AX89" s="8">
        <v>0.58568436091978715</v>
      </c>
      <c r="AY89" s="8">
        <v>0.90951540450103618</v>
      </c>
      <c r="AZ89" s="8">
        <v>1.2249938205852193</v>
      </c>
      <c r="BA89" s="8">
        <v>0.61333434230865858</v>
      </c>
      <c r="BB89" s="8">
        <v>0.50363307383037359</v>
      </c>
      <c r="BC89" s="8">
        <v>0.4588539291067833</v>
      </c>
      <c r="BD89" s="8">
        <v>0.45068786339132721</v>
      </c>
      <c r="BE89" s="8">
        <v>0.62067959860488919</v>
      </c>
      <c r="BF89" s="8">
        <v>1.027729852297155</v>
      </c>
      <c r="BG89" s="8">
        <v>1.3250813404608133</v>
      </c>
      <c r="BH89" s="8">
        <v>0.57108053798453817</v>
      </c>
      <c r="BI89" s="8">
        <v>0.44251947799300262</v>
      </c>
      <c r="BJ89" s="8">
        <v>0.39709158852823206</v>
      </c>
      <c r="BK89" s="8">
        <v>0.36863593540689782</v>
      </c>
      <c r="BL89" s="8">
        <v>0.45106745654789643</v>
      </c>
      <c r="BM89" s="8">
        <v>0.81982107942090765</v>
      </c>
      <c r="BN89" s="8">
        <v>0.94978392411852541</v>
      </c>
      <c r="BO89" s="8">
        <v>0.50280425625517855</v>
      </c>
      <c r="BP89" s="8">
        <v>0.40478919817502057</v>
      </c>
      <c r="BQ89" s="8">
        <v>0.37565892648900201</v>
      </c>
      <c r="BR89" s="8">
        <v>0.35852859893092354</v>
      </c>
      <c r="BS89" s="8">
        <v>0.46859927103985943</v>
      </c>
      <c r="BT89" s="8">
        <v>0.87151869176938646</v>
      </c>
      <c r="BU89" s="8">
        <v>1.0181010573406288</v>
      </c>
      <c r="BV89" s="8">
        <v>0.55084739929956739</v>
      </c>
      <c r="BW89" s="8">
        <v>0.44915260070043256</v>
      </c>
      <c r="BX89" s="8">
        <v>0</v>
      </c>
      <c r="BY89" s="8">
        <v>5</v>
      </c>
      <c r="BZ89" s="8">
        <v>5</v>
      </c>
      <c r="CA89" s="8">
        <v>4</v>
      </c>
      <c r="CB89" s="8">
        <v>4</v>
      </c>
      <c r="CC89" s="8">
        <v>1</v>
      </c>
      <c r="CD89" s="8">
        <v>0</v>
      </c>
      <c r="CE89" s="8">
        <v>19</v>
      </c>
      <c r="CF89" s="9">
        <v>1.3768695845513297</v>
      </c>
      <c r="CG89" s="9">
        <v>1.1120447742530324</v>
      </c>
      <c r="CH89" s="9">
        <v>1.0458558896120147</v>
      </c>
      <c r="CI89" s="9">
        <v>1.024842579571539</v>
      </c>
      <c r="CJ89" s="9">
        <v>1.1713687218395743</v>
      </c>
      <c r="CK89" s="9">
        <v>1.8190308090020724</v>
      </c>
      <c r="CL89" s="9">
        <v>2.4499876411704387</v>
      </c>
      <c r="CM89" s="9">
        <v>1.2266686846173172</v>
      </c>
      <c r="CN89" s="9">
        <v>1.0072661476607472</v>
      </c>
      <c r="CO89" s="9">
        <v>0.9177078582135666</v>
      </c>
      <c r="CP89" s="9">
        <v>0.90137572678265443</v>
      </c>
      <c r="CQ89" s="9">
        <v>1.2413591972097784</v>
      </c>
      <c r="CR89" s="9">
        <v>2.0554597045943099</v>
      </c>
      <c r="CS89" s="9">
        <v>2.6501626809216265</v>
      </c>
      <c r="CT89" s="9">
        <v>1.1421610759690763</v>
      </c>
      <c r="CU89" s="9">
        <v>0.88503895598600524</v>
      </c>
      <c r="CV89" s="9">
        <v>0.79418317705646413</v>
      </c>
      <c r="CW89" s="9">
        <v>0.73727187081379564</v>
      </c>
      <c r="CX89" s="9">
        <v>0.90213491309579286</v>
      </c>
      <c r="CY89" s="9">
        <v>1.6396421588418153</v>
      </c>
      <c r="CZ89" s="9">
        <v>1.8995678482370508</v>
      </c>
      <c r="DA89" s="9">
        <v>1.0056085125103571</v>
      </c>
      <c r="DB89" s="9">
        <v>0.80957839635004114</v>
      </c>
      <c r="DC89" s="9">
        <v>0.75131785297800402</v>
      </c>
      <c r="DD89" s="9">
        <v>0.71705719786184707</v>
      </c>
      <c r="DE89" s="9">
        <v>0.93719854207971887</v>
      </c>
      <c r="DF89" s="9">
        <v>1.7430373835387729</v>
      </c>
      <c r="DG89" s="9">
        <v>2.0362021146812577</v>
      </c>
      <c r="DH89" s="9">
        <v>2.0829082718907417</v>
      </c>
      <c r="DI89" s="9">
        <v>1.9170917281092577</v>
      </c>
      <c r="DJ89" s="9"/>
      <c r="DK89" s="9">
        <v>10</v>
      </c>
      <c r="DL89" s="9">
        <v>10</v>
      </c>
      <c r="DM89" s="9">
        <v>8</v>
      </c>
      <c r="DN89" s="9">
        <v>8</v>
      </c>
      <c r="DO89" s="9">
        <v>4</v>
      </c>
      <c r="DP89" s="9"/>
      <c r="DQ89" s="9">
        <v>40</v>
      </c>
      <c r="DR89" s="8">
        <f>+SUM(Tabla2[[#This Row],[1 gral]:[1 gral]])</f>
        <v>1.3768695845513297</v>
      </c>
      <c r="DS89" s="8">
        <f>+SUM(Tabla2[[#This Row],[1 temm]:[1 temm]])</f>
        <v>0.68843479227566484</v>
      </c>
      <c r="DT89" s="8">
        <f>+SUM(Tabla2[[#This Row],[1 porta]:[1 porta]])</f>
        <v>0</v>
      </c>
      <c r="DU89" s="8">
        <f>+Tabla2[[#This Row],[GRAL]]-(Tabla2[[#This Row],[TEMM14]]+Tabla2[[#This Row],[PORTA15]])</f>
        <v>0.68843479227566484</v>
      </c>
    </row>
    <row r="90" spans="1:125" x14ac:dyDescent="0.2">
      <c r="A90" s="84" t="s">
        <v>99</v>
      </c>
      <c r="B90" s="84" t="s">
        <v>482</v>
      </c>
      <c r="C90" s="11" t="s">
        <v>126</v>
      </c>
      <c r="D90" s="11">
        <v>2093223</v>
      </c>
      <c r="E90" s="11" t="s">
        <v>117</v>
      </c>
      <c r="F90" s="11" t="s">
        <v>319</v>
      </c>
      <c r="G90" s="43" t="s">
        <v>281</v>
      </c>
      <c r="H90" s="10">
        <v>0.12059800083105997</v>
      </c>
      <c r="I90" s="10">
        <v>0.16789847649467127</v>
      </c>
      <c r="J90" s="10">
        <v>0.1562207193579257</v>
      </c>
      <c r="K90" s="10">
        <v>0.15006952754027642</v>
      </c>
      <c r="L90" s="10">
        <v>0.16374086192033718</v>
      </c>
      <c r="M90" s="10">
        <v>0.14743099948912008</v>
      </c>
      <c r="N90" s="10">
        <v>9.4041414366609274E-2</v>
      </c>
      <c r="O90" s="10">
        <v>0.13456875821488182</v>
      </c>
      <c r="P90" s="10">
        <v>0.15707930258261715</v>
      </c>
      <c r="Q90" s="10">
        <v>0.1366666184667969</v>
      </c>
      <c r="R90" s="10">
        <v>0.15251213813195408</v>
      </c>
      <c r="S90" s="10">
        <v>0.16144595225895933</v>
      </c>
      <c r="T90" s="10">
        <v>0.17017767644203829</v>
      </c>
      <c r="U90" s="10">
        <v>8.7549553902752458E-2</v>
      </c>
      <c r="V90" s="10">
        <v>0.13996353763244257</v>
      </c>
      <c r="W90" s="10">
        <v>0.16408049301484401</v>
      </c>
      <c r="X90" s="10">
        <v>0.14972686275640418</v>
      </c>
      <c r="Y90" s="10">
        <v>0.1463085242518728</v>
      </c>
      <c r="Z90" s="10">
        <v>0.15374768661164634</v>
      </c>
      <c r="AA90" s="10">
        <v>0.16100337430944414</v>
      </c>
      <c r="AB90" s="10">
        <v>8.5169521423346065E-2</v>
      </c>
      <c r="AC90" s="10">
        <v>0.14462106218700971</v>
      </c>
      <c r="AD90" s="10">
        <v>0.15927880292158872</v>
      </c>
      <c r="AE90" s="10">
        <v>0.15323481470929368</v>
      </c>
      <c r="AF90" s="10">
        <v>0.13729451948603222</v>
      </c>
      <c r="AG90" s="10">
        <v>0.15608969598895889</v>
      </c>
      <c r="AH90" s="10">
        <v>0.163037646001296</v>
      </c>
      <c r="AI90" s="10">
        <v>8.6443458705820736E-2</v>
      </c>
      <c r="AJ90" s="10">
        <v>0.49060673664580357</v>
      </c>
      <c r="AK90" s="10">
        <v>0.50939326335419632</v>
      </c>
      <c r="AL90" s="10">
        <v>0</v>
      </c>
      <c r="AM90" s="6">
        <v>1</v>
      </c>
      <c r="AN90" s="8">
        <v>1</v>
      </c>
      <c r="AO90" s="8">
        <v>1</v>
      </c>
      <c r="AP90" s="8">
        <v>1</v>
      </c>
      <c r="AQ90" s="8">
        <v>1</v>
      </c>
      <c r="AR90" s="8">
        <v>0</v>
      </c>
      <c r="AS90" s="87">
        <v>5</v>
      </c>
      <c r="AT90" s="8">
        <v>0.41306087536539887</v>
      </c>
      <c r="AU90" s="8">
        <v>0.33361343227590967</v>
      </c>
      <c r="AV90" s="8">
        <v>0.31375676688360443</v>
      </c>
      <c r="AW90" s="8">
        <v>0.30745277387146175</v>
      </c>
      <c r="AX90" s="8">
        <v>0.35141061655187228</v>
      </c>
      <c r="AY90" s="8">
        <v>0.54570924270062171</v>
      </c>
      <c r="AZ90" s="8">
        <v>0.73499629235113151</v>
      </c>
      <c r="BA90" s="8">
        <v>0.36800060538519513</v>
      </c>
      <c r="BB90" s="8">
        <v>0.30217984429822414</v>
      </c>
      <c r="BC90" s="8">
        <v>0.27531235746406996</v>
      </c>
      <c r="BD90" s="8">
        <v>0.27041271803479633</v>
      </c>
      <c r="BE90" s="8">
        <v>0.37240775916293356</v>
      </c>
      <c r="BF90" s="8">
        <v>0.61663791137829294</v>
      </c>
      <c r="BG90" s="8">
        <v>0.79504880427648805</v>
      </c>
      <c r="BH90" s="8">
        <v>0.42831040348840366</v>
      </c>
      <c r="BI90" s="8">
        <v>0.33188960849475196</v>
      </c>
      <c r="BJ90" s="8">
        <v>0.29781869139617406</v>
      </c>
      <c r="BK90" s="8">
        <v>0.27647695155517338</v>
      </c>
      <c r="BL90" s="8">
        <v>0.33830059241092231</v>
      </c>
      <c r="BM90" s="8">
        <v>0.61486580956568071</v>
      </c>
      <c r="BN90" s="8">
        <v>0.71233794308889409</v>
      </c>
      <c r="BO90" s="8">
        <v>0.37710319219138388</v>
      </c>
      <c r="BP90" s="8">
        <v>0.30359189863126546</v>
      </c>
      <c r="BQ90" s="8">
        <v>0.28174419486675151</v>
      </c>
      <c r="BR90" s="8">
        <v>0.26889644919819267</v>
      </c>
      <c r="BS90" s="8">
        <v>0.35144945327989457</v>
      </c>
      <c r="BT90" s="8">
        <v>0.65363901882703979</v>
      </c>
      <c r="BU90" s="8">
        <v>0.76357579300547163</v>
      </c>
      <c r="BV90" s="8">
        <v>1.1016947985991348</v>
      </c>
      <c r="BW90" s="8">
        <v>0.89830520140086512</v>
      </c>
      <c r="BX90" s="8">
        <v>0</v>
      </c>
      <c r="BY90" s="8">
        <v>3</v>
      </c>
      <c r="BZ90" s="8">
        <v>3</v>
      </c>
      <c r="CA90" s="8">
        <v>3</v>
      </c>
      <c r="CB90" s="8">
        <v>3</v>
      </c>
      <c r="CC90" s="8">
        <v>2</v>
      </c>
      <c r="CD90" s="8">
        <v>0</v>
      </c>
      <c r="CE90" s="8">
        <v>14</v>
      </c>
      <c r="CF90" s="9">
        <v>0.94671975156185773</v>
      </c>
      <c r="CG90" s="9">
        <v>0.83512534104649061</v>
      </c>
      <c r="CH90" s="9">
        <v>0.78373425312513456</v>
      </c>
      <c r="CI90" s="9">
        <v>0.76497507528319986</v>
      </c>
      <c r="CJ90" s="9">
        <v>0.86656209502408177</v>
      </c>
      <c r="CK90" s="9">
        <v>1.2388494848903635</v>
      </c>
      <c r="CL90" s="9">
        <v>1.5640339990688723</v>
      </c>
      <c r="CM90" s="9">
        <v>0.87056996898527217</v>
      </c>
      <c r="CN90" s="9">
        <v>0.76143899117906544</v>
      </c>
      <c r="CO90" s="9">
        <v>0.68729133339493687</v>
      </c>
      <c r="CP90" s="9">
        <v>0.69333757420154674</v>
      </c>
      <c r="CQ90" s="9">
        <v>0.90626147058482642</v>
      </c>
      <c r="CR90" s="9">
        <v>1.4034534991986241</v>
      </c>
      <c r="CS90" s="9">
        <v>1.6776471624557285</v>
      </c>
      <c r="CT90" s="9">
        <v>0.99658434460924983</v>
      </c>
      <c r="CU90" s="9">
        <v>0.82785971000434788</v>
      </c>
      <c r="CV90" s="9">
        <v>0.74536424554875236</v>
      </c>
      <c r="CW90" s="9">
        <v>0.69926242736221955</v>
      </c>
      <c r="CX90" s="9">
        <v>0.83034887143349101</v>
      </c>
      <c r="CY90" s="9">
        <v>1.3907349934408055</v>
      </c>
      <c r="CZ90" s="9">
        <v>1.5098454076011343</v>
      </c>
      <c r="DA90" s="9">
        <v>0.77312638250598287</v>
      </c>
      <c r="DB90" s="9">
        <v>0.66526530064036438</v>
      </c>
      <c r="DC90" s="9">
        <v>0.62280847282054619</v>
      </c>
      <c r="DD90" s="9">
        <v>0.58545526814968663</v>
      </c>
      <c r="DE90" s="9">
        <v>0.74183878478878318</v>
      </c>
      <c r="DF90" s="9">
        <v>1.252436010713029</v>
      </c>
      <c r="DG90" s="9">
        <v>1.3590697803816068</v>
      </c>
      <c r="DH90" s="9">
        <v>1.5923015352449383</v>
      </c>
      <c r="DI90" s="9">
        <v>1.4076984647550614</v>
      </c>
      <c r="DJ90" s="9"/>
      <c r="DK90" s="9">
        <v>7</v>
      </c>
      <c r="DL90" s="9">
        <v>7</v>
      </c>
      <c r="DM90" s="9">
        <v>7</v>
      </c>
      <c r="DN90" s="9">
        <v>6</v>
      </c>
      <c r="DO90" s="9">
        <v>3</v>
      </c>
      <c r="DP90" s="9"/>
      <c r="DQ90" s="9">
        <v>30</v>
      </c>
      <c r="DR90" s="8">
        <f>+SUM(Tabla2[[#This Row],[1 gral]:[1 gral]])</f>
        <v>0.94671975156185773</v>
      </c>
      <c r="DS90" s="8">
        <f>+SUM(Tabla2[[#This Row],[1 temm]:[1 temm]])</f>
        <v>0.41306087536539887</v>
      </c>
      <c r="DT90" s="8">
        <f>+SUM(Tabla2[[#This Row],[1 porta]:[1 porta]])</f>
        <v>0.12059800083105997</v>
      </c>
      <c r="DU90" s="8">
        <f>+Tabla2[[#This Row],[GRAL]]-(Tabla2[[#This Row],[TEMM14]]+Tabla2[[#This Row],[PORTA15]])</f>
        <v>0.41306087536539893</v>
      </c>
    </row>
    <row r="91" spans="1:125" hidden="1" x14ac:dyDescent="0.2">
      <c r="A91" s="84" t="s">
        <v>457</v>
      </c>
      <c r="B91" s="84" t="s">
        <v>483</v>
      </c>
      <c r="C91" s="11" t="s">
        <v>453</v>
      </c>
      <c r="D91" s="11">
        <v>2093259</v>
      </c>
      <c r="E91" s="11" t="s">
        <v>439</v>
      </c>
      <c r="F91" s="11" t="s">
        <v>470</v>
      </c>
      <c r="G91" s="43" t="s">
        <v>280</v>
      </c>
      <c r="H91" s="10">
        <v>0.12059800083105997</v>
      </c>
      <c r="I91" s="10">
        <v>0.16789847649467127</v>
      </c>
      <c r="J91" s="10">
        <v>0.1562207193579257</v>
      </c>
      <c r="K91" s="10">
        <v>0.15006952754027642</v>
      </c>
      <c r="L91" s="10">
        <v>0.16374086192033718</v>
      </c>
      <c r="M91" s="10">
        <v>0.14743099948912008</v>
      </c>
      <c r="N91" s="10">
        <v>9.4041414366609274E-2</v>
      </c>
      <c r="O91" s="10">
        <v>0.13456875821488182</v>
      </c>
      <c r="P91" s="10">
        <v>0.15707930258261715</v>
      </c>
      <c r="Q91" s="10">
        <v>0.1366666184667969</v>
      </c>
      <c r="R91" s="10">
        <v>0.15251213813195408</v>
      </c>
      <c r="S91" s="10">
        <v>0.16144595225895933</v>
      </c>
      <c r="T91" s="10">
        <v>0.17017767644203829</v>
      </c>
      <c r="U91" s="10">
        <v>8.7549553902752458E-2</v>
      </c>
      <c r="V91" s="10">
        <v>0.13996353763244257</v>
      </c>
      <c r="W91" s="10">
        <v>0.16408049301484401</v>
      </c>
      <c r="X91" s="10">
        <v>0.14972686275640418</v>
      </c>
      <c r="Y91" s="10">
        <v>0.1463085242518728</v>
      </c>
      <c r="Z91" s="10">
        <v>0.15374768661164634</v>
      </c>
      <c r="AA91" s="10">
        <v>0.16100337430944414</v>
      </c>
      <c r="AB91" s="10">
        <v>8.5169521423346065E-2</v>
      </c>
      <c r="AC91" s="10">
        <v>0.14462106218700971</v>
      </c>
      <c r="AD91" s="10">
        <v>0.15927880292158872</v>
      </c>
      <c r="AE91" s="10">
        <v>0.15323481470929368</v>
      </c>
      <c r="AF91" s="10">
        <v>0.13729451948603222</v>
      </c>
      <c r="AG91" s="10">
        <v>0.15608969598895889</v>
      </c>
      <c r="AH91" s="10">
        <v>0.163037646001296</v>
      </c>
      <c r="AI91" s="10">
        <v>8.6443458705820736E-2</v>
      </c>
      <c r="AJ91" s="10">
        <v>-0.49060673664580357</v>
      </c>
      <c r="AK91" s="10">
        <v>-0.50939326335419632</v>
      </c>
      <c r="AL91" s="10">
        <v>0</v>
      </c>
      <c r="AM91" s="6">
        <v>1</v>
      </c>
      <c r="AN91" s="8">
        <v>1</v>
      </c>
      <c r="AO91" s="8">
        <v>1</v>
      </c>
      <c r="AP91" s="8">
        <v>1</v>
      </c>
      <c r="AQ91" s="8">
        <v>-1</v>
      </c>
      <c r="AR91" s="8">
        <v>0</v>
      </c>
      <c r="AS91" s="64">
        <v>3</v>
      </c>
      <c r="AT91" s="8">
        <v>3.442173961378324</v>
      </c>
      <c r="AU91" s="8">
        <v>2.780111935632581</v>
      </c>
      <c r="AV91" s="8">
        <v>2.6146397240300367</v>
      </c>
      <c r="AW91" s="8">
        <v>2.5621064489288479</v>
      </c>
      <c r="AX91" s="8">
        <v>2.9284218045989356</v>
      </c>
      <c r="AY91" s="8">
        <v>4.5475770225051813</v>
      </c>
      <c r="AZ91" s="8">
        <v>6.1249691029260962</v>
      </c>
      <c r="BA91" s="8">
        <v>3.0666717115432927</v>
      </c>
      <c r="BB91" s="8">
        <v>2.5181653691518679</v>
      </c>
      <c r="BC91" s="8">
        <v>2.2942696455339164</v>
      </c>
      <c r="BD91" s="8">
        <v>2.2534393169566362</v>
      </c>
      <c r="BE91" s="8">
        <v>3.103397993024446</v>
      </c>
      <c r="BF91" s="8">
        <v>5.1386492614857744</v>
      </c>
      <c r="BG91" s="8">
        <v>6.6254067023040664</v>
      </c>
      <c r="BH91" s="8">
        <v>3.2837130934110945</v>
      </c>
      <c r="BI91" s="8">
        <v>2.5444869984597651</v>
      </c>
      <c r="BJ91" s="8">
        <v>2.2832766340373345</v>
      </c>
      <c r="BK91" s="8">
        <v>2.1196566285896625</v>
      </c>
      <c r="BL91" s="8">
        <v>2.5936378751504043</v>
      </c>
      <c r="BM91" s="8">
        <v>4.7139712066702186</v>
      </c>
      <c r="BN91" s="8">
        <v>5.4612575636815208</v>
      </c>
      <c r="BO91" s="8">
        <v>2.8911244734672765</v>
      </c>
      <c r="BP91" s="8">
        <v>2.3275378895063681</v>
      </c>
      <c r="BQ91" s="8">
        <v>2.1600388273117614</v>
      </c>
      <c r="BR91" s="8">
        <v>2.0615394438528103</v>
      </c>
      <c r="BS91" s="8">
        <v>2.6944458084791916</v>
      </c>
      <c r="BT91" s="8">
        <v>5.0112324776739721</v>
      </c>
      <c r="BU91" s="8">
        <v>5.8540810797086156</v>
      </c>
      <c r="BV91" s="8">
        <v>2.7542369964978368</v>
      </c>
      <c r="BW91" s="8">
        <v>2.2457630035021627</v>
      </c>
      <c r="BX91" s="8">
        <v>0</v>
      </c>
      <c r="BY91" s="8">
        <v>25</v>
      </c>
      <c r="BZ91" s="8">
        <v>25</v>
      </c>
      <c r="CA91" s="8">
        <v>23</v>
      </c>
      <c r="CB91" s="8">
        <v>23</v>
      </c>
      <c r="CC91" s="8">
        <v>5</v>
      </c>
      <c r="CD91" s="8">
        <v>0</v>
      </c>
      <c r="CE91" s="8">
        <v>101</v>
      </c>
      <c r="CF91" s="9">
        <v>4.2512067544850485</v>
      </c>
      <c r="CG91" s="9">
        <v>3.5040327992537685</v>
      </c>
      <c r="CH91" s="9">
        <v>3.29378838819397</v>
      </c>
      <c r="CI91" s="9">
        <v>3.2245972662548938</v>
      </c>
      <c r="CJ91" s="9">
        <v>3.6778470274390598</v>
      </c>
      <c r="CK91" s="9">
        <v>5.6045234264953372</v>
      </c>
      <c r="CL91" s="9">
        <v>7.4440043378779244</v>
      </c>
      <c r="CM91" s="9">
        <v>3.8145748120668328</v>
      </c>
      <c r="CN91" s="9">
        <v>3.1788777455648587</v>
      </c>
      <c r="CO91" s="9">
        <v>2.8897901931074967</v>
      </c>
      <c r="CP91" s="9">
        <v>2.8566393184799175</v>
      </c>
      <c r="CQ91" s="9">
        <v>3.8855235438882945</v>
      </c>
      <c r="CR91" s="9">
        <v>6.336556790224968</v>
      </c>
      <c r="CS91" s="9">
        <v>8.0380375966676318</v>
      </c>
      <c r="CT91" s="9">
        <v>4.1375273035242097</v>
      </c>
      <c r="CU91" s="9">
        <v>3.261716838965862</v>
      </c>
      <c r="CV91" s="9">
        <v>2.9293679824540289</v>
      </c>
      <c r="CW91" s="9">
        <v>2.7267600721001575</v>
      </c>
      <c r="CX91" s="9">
        <v>3.3112198824469212</v>
      </c>
      <c r="CY91" s="9">
        <v>5.8997509302557969</v>
      </c>
      <c r="CZ91" s="9">
        <v>6.7336569902530234</v>
      </c>
      <c r="DA91" s="9">
        <v>3.6642508559732594</v>
      </c>
      <c r="DB91" s="9">
        <v>2.9928031901467325</v>
      </c>
      <c r="DC91" s="9">
        <v>2.7828473001323077</v>
      </c>
      <c r="DD91" s="9">
        <v>2.6469947120024968</v>
      </c>
      <c r="DE91" s="9">
        <v>3.4362845932679749</v>
      </c>
      <c r="DF91" s="9">
        <v>6.2636684883870011</v>
      </c>
      <c r="DG91" s="9">
        <v>7.2131508600902228</v>
      </c>
      <c r="DH91" s="9">
        <v>3.3653250584511678</v>
      </c>
      <c r="DI91" s="9">
        <v>2.6346749415488313</v>
      </c>
      <c r="DJ91" s="9"/>
      <c r="DK91" s="9">
        <v>31</v>
      </c>
      <c r="DL91" s="9">
        <v>31</v>
      </c>
      <c r="DM91" s="9">
        <v>29</v>
      </c>
      <c r="DN91" s="9">
        <v>29</v>
      </c>
      <c r="DO91" s="9">
        <v>6</v>
      </c>
      <c r="DP91" s="9"/>
      <c r="DQ91" s="9">
        <v>126</v>
      </c>
      <c r="DR91" s="8">
        <f>+SUM(Tabla2[[#This Row],[1 gral]:[1 gral]])</f>
        <v>4.2512067544850485</v>
      </c>
      <c r="DS91" s="8">
        <f>+SUM(Tabla2[[#This Row],[1 temm]:[1 temm]])</f>
        <v>3.442173961378324</v>
      </c>
      <c r="DT91" s="8">
        <f>+SUM(Tabla2[[#This Row],[1 porta]:[1 porta]])</f>
        <v>0.12059800083105997</v>
      </c>
      <c r="DU91" s="8">
        <f>+Tabla2[[#This Row],[GRAL]]-(Tabla2[[#This Row],[TEMM14]]+Tabla2[[#This Row],[PORTA15]])</f>
        <v>0.68843479227566462</v>
      </c>
    </row>
    <row r="92" spans="1:125" x14ac:dyDescent="0.2">
      <c r="A92" s="84" t="s">
        <v>99</v>
      </c>
      <c r="B92" s="84" t="s">
        <v>482</v>
      </c>
      <c r="C92" s="11" t="s">
        <v>126</v>
      </c>
      <c r="D92" s="11">
        <v>2093373</v>
      </c>
      <c r="E92" s="11" t="s">
        <v>118</v>
      </c>
      <c r="F92" s="11" t="s">
        <v>318</v>
      </c>
      <c r="G92" s="43" t="s">
        <v>280</v>
      </c>
      <c r="H92" s="10">
        <v>0.24119600166211994</v>
      </c>
      <c r="I92" s="10">
        <v>0.33579695298934253</v>
      </c>
      <c r="J92" s="10">
        <v>0.31244143871585139</v>
      </c>
      <c r="K92" s="10">
        <v>0.30013905508055283</v>
      </c>
      <c r="L92" s="10">
        <v>0.32748172384067437</v>
      </c>
      <c r="M92" s="10">
        <v>0.29486199897824017</v>
      </c>
      <c r="N92" s="10">
        <v>0.18808282873321855</v>
      </c>
      <c r="O92" s="10">
        <v>0.40370627464464548</v>
      </c>
      <c r="P92" s="10">
        <v>0.47123790774785146</v>
      </c>
      <c r="Q92" s="10">
        <v>0.40999985540039069</v>
      </c>
      <c r="R92" s="10">
        <v>0.45753641439586223</v>
      </c>
      <c r="S92" s="10">
        <v>0.48433785677687802</v>
      </c>
      <c r="T92" s="10">
        <v>0.51053302932611488</v>
      </c>
      <c r="U92" s="10">
        <v>0.2626486617082574</v>
      </c>
      <c r="V92" s="10">
        <v>0.41989061289732771</v>
      </c>
      <c r="W92" s="10">
        <v>0.49224147904453203</v>
      </c>
      <c r="X92" s="10">
        <v>0.44918058826921253</v>
      </c>
      <c r="Y92" s="10">
        <v>0.43892557275561839</v>
      </c>
      <c r="Z92" s="10">
        <v>0.46124305983493902</v>
      </c>
      <c r="AA92" s="10">
        <v>0.48301012292833245</v>
      </c>
      <c r="AB92" s="10">
        <v>0.25550856427003821</v>
      </c>
      <c r="AC92" s="10">
        <v>0.43386318656102912</v>
      </c>
      <c r="AD92" s="10">
        <v>0.47783640876476619</v>
      </c>
      <c r="AE92" s="10">
        <v>0.45970444412788103</v>
      </c>
      <c r="AF92" s="10">
        <v>0.41188355845809665</v>
      </c>
      <c r="AG92" s="10">
        <v>0.46826908796687666</v>
      </c>
      <c r="AH92" s="10">
        <v>0.489112938003888</v>
      </c>
      <c r="AI92" s="10">
        <v>0.25933037611746224</v>
      </c>
      <c r="AJ92" s="10">
        <v>-0.49060673664580357</v>
      </c>
      <c r="AK92" s="10">
        <v>-0.50939326335419632</v>
      </c>
      <c r="AL92" s="10">
        <v>0</v>
      </c>
      <c r="AM92" s="6">
        <v>2</v>
      </c>
      <c r="AN92" s="8">
        <v>3</v>
      </c>
      <c r="AO92" s="8">
        <v>3</v>
      </c>
      <c r="AP92" s="8">
        <v>3</v>
      </c>
      <c r="AQ92" s="8">
        <v>-1</v>
      </c>
      <c r="AR92" s="8">
        <v>0</v>
      </c>
      <c r="AS92" s="64">
        <v>10</v>
      </c>
      <c r="AT92" s="8">
        <v>1.3597806269272565</v>
      </c>
      <c r="AU92" s="8">
        <v>1.1687387733224002</v>
      </c>
      <c r="AV92" s="8">
        <v>1.0974910200087389</v>
      </c>
      <c r="AW92" s="8">
        <v>1.0724278491546615</v>
      </c>
      <c r="AX92" s="8">
        <v>1.217972711575954</v>
      </c>
      <c r="AY92" s="8">
        <v>1.7845587275909851</v>
      </c>
      <c r="AZ92" s="8">
        <v>2.2990302914200038</v>
      </c>
      <c r="BA92" s="8">
        <v>1.2385705743704671</v>
      </c>
      <c r="BB92" s="8">
        <v>1.0636188354772895</v>
      </c>
      <c r="BC92" s="8">
        <v>0.96260369085900677</v>
      </c>
      <c r="BD92" s="8">
        <v>0.96375029223634301</v>
      </c>
      <c r="BE92" s="8">
        <v>1.27866922974776</v>
      </c>
      <c r="BF92" s="8">
        <v>2.0200914105769172</v>
      </c>
      <c r="BG92" s="8">
        <v>2.4726959667322168</v>
      </c>
      <c r="BH92" s="8">
        <v>1.282124613601519</v>
      </c>
      <c r="BI92" s="8">
        <v>1.0491194490008493</v>
      </c>
      <c r="BJ92" s="8">
        <v>0.94391003981286836</v>
      </c>
      <c r="BK92" s="8">
        <v>0.88358039506566843</v>
      </c>
      <c r="BL92" s="8">
        <v>1.0558825997074393</v>
      </c>
      <c r="BM92" s="8">
        <v>1.8006455331512594</v>
      </c>
      <c r="BN92" s="8">
        <v>1.9847373696603969</v>
      </c>
      <c r="BO92" s="8">
        <v>1.1502295746973668</v>
      </c>
      <c r="BP92" s="8">
        <v>0.96885719927162983</v>
      </c>
      <c r="BQ92" s="8">
        <v>0.9045526676872977</v>
      </c>
      <c r="BR92" s="8">
        <v>0.85435171734787929</v>
      </c>
      <c r="BS92" s="8">
        <v>1.0932882380686777</v>
      </c>
      <c r="BT92" s="8">
        <v>1.906075029540069</v>
      </c>
      <c r="BU92" s="8">
        <v>2.1226455733870786</v>
      </c>
      <c r="BV92" s="8">
        <v>1.1619354612528987</v>
      </c>
      <c r="BW92" s="8">
        <v>0.83806453874710141</v>
      </c>
      <c r="BX92" s="8">
        <v>0</v>
      </c>
      <c r="BY92" s="8">
        <v>10</v>
      </c>
      <c r="BZ92" s="8">
        <v>10</v>
      </c>
      <c r="CA92" s="8">
        <v>9</v>
      </c>
      <c r="CB92" s="8">
        <v>9</v>
      </c>
      <c r="CC92" s="8">
        <v>2</v>
      </c>
      <c r="CD92" s="8">
        <v>0</v>
      </c>
      <c r="CE92" s="8">
        <v>40</v>
      </c>
      <c r="CF92" s="9">
        <v>2.9949351707647791</v>
      </c>
      <c r="CG92" s="9">
        <v>2.5598865014954071</v>
      </c>
      <c r="CH92" s="9">
        <v>2.4041532179398812</v>
      </c>
      <c r="CI92" s="9">
        <v>2.3498242142236307</v>
      </c>
      <c r="CJ92" s="9">
        <v>2.6702191675198232</v>
      </c>
      <c r="CK92" s="9">
        <v>3.9329236169823849</v>
      </c>
      <c r="CL92" s="9">
        <v>5.0880581110740959</v>
      </c>
      <c r="CM92" s="9">
        <v>2.8570436438792797</v>
      </c>
      <c r="CN92" s="9">
        <v>2.4857702030693458</v>
      </c>
      <c r="CO92" s="9">
        <v>2.2454155718275239</v>
      </c>
      <c r="CP92" s="9">
        <v>2.2602878679611713</v>
      </c>
      <c r="CQ92" s="9">
        <v>2.9670562511964351</v>
      </c>
      <c r="CR92" s="9">
        <v>4.6214524385147344</v>
      </c>
      <c r="CS92" s="9">
        <v>5.5629740235515115</v>
      </c>
      <c r="CT92" s="9">
        <v>2.9897530338277494</v>
      </c>
      <c r="CU92" s="9">
        <v>2.4835791300130436</v>
      </c>
      <c r="CV92" s="9">
        <v>2.2360927366462566</v>
      </c>
      <c r="CW92" s="9">
        <v>2.0977872820866583</v>
      </c>
      <c r="CX92" s="9">
        <v>2.4910466143004726</v>
      </c>
      <c r="CY92" s="9">
        <v>4.1722049803224168</v>
      </c>
      <c r="CZ92" s="9">
        <v>4.5295362228034026</v>
      </c>
      <c r="DA92" s="9">
        <v>2.6964823397093327</v>
      </c>
      <c r="DB92" s="9">
        <v>2.2993878005523589</v>
      </c>
      <c r="DC92" s="9">
        <v>2.1501696133283899</v>
      </c>
      <c r="DD92" s="9">
        <v>2.0252622536472522</v>
      </c>
      <c r="DE92" s="9">
        <v>2.5769658076462441</v>
      </c>
      <c r="DF92" s="9">
        <v>4.4109470509661275</v>
      </c>
      <c r="DG92" s="9">
        <v>4.8407851341502921</v>
      </c>
      <c r="DH92" s="9">
        <v>1.712782860552466</v>
      </c>
      <c r="DI92" s="9">
        <v>1.287217139447534</v>
      </c>
      <c r="DJ92" s="9"/>
      <c r="DK92" s="9">
        <v>22</v>
      </c>
      <c r="DL92" s="9">
        <v>23</v>
      </c>
      <c r="DM92" s="9">
        <v>21</v>
      </c>
      <c r="DN92" s="9">
        <v>21</v>
      </c>
      <c r="DO92" s="9">
        <v>3</v>
      </c>
      <c r="DP92" s="9"/>
      <c r="DQ92" s="9">
        <v>90</v>
      </c>
      <c r="DR92" s="8">
        <f>+SUM(Tabla2[[#This Row],[1 gral]:[1 gral]])</f>
        <v>2.9949351707647791</v>
      </c>
      <c r="DS92" s="8">
        <f>+SUM(Tabla2[[#This Row],[1 temm]:[1 temm]])</f>
        <v>1.3597806269272565</v>
      </c>
      <c r="DT92" s="8">
        <f>+SUM(Tabla2[[#This Row],[1 porta]:[1 porta]])</f>
        <v>0.24119600166211994</v>
      </c>
      <c r="DU92" s="8">
        <f>+Tabla2[[#This Row],[GRAL]]-(Tabla2[[#This Row],[TEMM14]]+Tabla2[[#This Row],[PORTA15]])</f>
        <v>1.3939585421754026</v>
      </c>
    </row>
    <row r="93" spans="1:125" hidden="1" x14ac:dyDescent="0.2">
      <c r="A93" s="84" t="s">
        <v>455</v>
      </c>
      <c r="B93" s="84" t="s">
        <v>483</v>
      </c>
      <c r="C93" s="11" t="s">
        <v>451</v>
      </c>
      <c r="D93" s="11">
        <v>2093375</v>
      </c>
      <c r="E93" s="11" t="s">
        <v>44</v>
      </c>
      <c r="F93" s="11" t="s">
        <v>470</v>
      </c>
      <c r="G93" s="43" t="s">
        <v>280</v>
      </c>
      <c r="H93" s="10">
        <v>0.12059800083105997</v>
      </c>
      <c r="I93" s="10">
        <v>0.16789847649467127</v>
      </c>
      <c r="J93" s="10">
        <v>0.1562207193579257</v>
      </c>
      <c r="K93" s="10">
        <v>0.15006952754027642</v>
      </c>
      <c r="L93" s="10">
        <v>0.16374086192033718</v>
      </c>
      <c r="M93" s="10">
        <v>0.14743099948912008</v>
      </c>
      <c r="N93" s="10">
        <v>9.4041414366609274E-2</v>
      </c>
      <c r="O93" s="10">
        <v>0.13456875821488182</v>
      </c>
      <c r="P93" s="10">
        <v>0.15707930258261715</v>
      </c>
      <c r="Q93" s="10">
        <v>0.1366666184667969</v>
      </c>
      <c r="R93" s="10">
        <v>0.15251213813195408</v>
      </c>
      <c r="S93" s="10">
        <v>0.16144595225895933</v>
      </c>
      <c r="T93" s="10">
        <v>0.17017767644203829</v>
      </c>
      <c r="U93" s="10">
        <v>8.7549553902752458E-2</v>
      </c>
      <c r="V93" s="10">
        <v>0.13996353763244257</v>
      </c>
      <c r="W93" s="10">
        <v>0.16408049301484401</v>
      </c>
      <c r="X93" s="10">
        <v>0.14972686275640418</v>
      </c>
      <c r="Y93" s="10">
        <v>0.1463085242518728</v>
      </c>
      <c r="Z93" s="10">
        <v>0.15374768661164634</v>
      </c>
      <c r="AA93" s="10">
        <v>0.16100337430944414</v>
      </c>
      <c r="AB93" s="10">
        <v>8.5169521423346065E-2</v>
      </c>
      <c r="AC93" s="10">
        <v>0.14462106218700971</v>
      </c>
      <c r="AD93" s="10">
        <v>0.15927880292158872</v>
      </c>
      <c r="AE93" s="10">
        <v>0.15323481470929368</v>
      </c>
      <c r="AF93" s="10">
        <v>0.13729451948603222</v>
      </c>
      <c r="AG93" s="10">
        <v>0.15608969598895889</v>
      </c>
      <c r="AH93" s="10">
        <v>0.163037646001296</v>
      </c>
      <c r="AI93" s="10">
        <v>8.6443458705820736E-2</v>
      </c>
      <c r="AJ93" s="10">
        <v>0</v>
      </c>
      <c r="AK93" s="10">
        <v>0</v>
      </c>
      <c r="AL93" s="10">
        <v>0</v>
      </c>
      <c r="AM93" s="6">
        <v>1</v>
      </c>
      <c r="AN93" s="8">
        <v>1</v>
      </c>
      <c r="AO93" s="8">
        <v>1</v>
      </c>
      <c r="AP93" s="8">
        <v>1</v>
      </c>
      <c r="AQ93" s="8">
        <v>0</v>
      </c>
      <c r="AR93" s="8">
        <v>0</v>
      </c>
      <c r="AS93" s="64">
        <v>4</v>
      </c>
      <c r="AT93" s="8">
        <v>1.7899304599167285</v>
      </c>
      <c r="AU93" s="8">
        <v>1.4456582065289421</v>
      </c>
      <c r="AV93" s="8">
        <v>1.3596126564956192</v>
      </c>
      <c r="AW93" s="8">
        <v>1.3322953534430009</v>
      </c>
      <c r="AX93" s="8">
        <v>1.5227793383914465</v>
      </c>
      <c r="AY93" s="8">
        <v>2.364740051702694</v>
      </c>
      <c r="AZ93" s="8">
        <v>3.1849839335215702</v>
      </c>
      <c r="BA93" s="8">
        <v>1.5946692900025121</v>
      </c>
      <c r="BB93" s="8">
        <v>1.3094459919589712</v>
      </c>
      <c r="BC93" s="8">
        <v>1.1930202156776366</v>
      </c>
      <c r="BD93" s="8">
        <v>1.1717884448174507</v>
      </c>
      <c r="BE93" s="8">
        <v>1.6137669563727119</v>
      </c>
      <c r="BF93" s="8">
        <v>2.6720976159726026</v>
      </c>
      <c r="BG93" s="8">
        <v>3.4452114851981146</v>
      </c>
      <c r="BH93" s="8">
        <v>1.7132416139536146</v>
      </c>
      <c r="BI93" s="8">
        <v>1.3275584339790079</v>
      </c>
      <c r="BJ93" s="8">
        <v>1.1912747655846962</v>
      </c>
      <c r="BK93" s="8">
        <v>1.1059078062206935</v>
      </c>
      <c r="BL93" s="8">
        <v>1.3532023696436892</v>
      </c>
      <c r="BM93" s="8">
        <v>2.4594632382627228</v>
      </c>
      <c r="BN93" s="8">
        <v>2.8493517723555764</v>
      </c>
      <c r="BO93" s="8">
        <v>1.5084127687655355</v>
      </c>
      <c r="BP93" s="8">
        <v>1.2143675945250618</v>
      </c>
      <c r="BQ93" s="8">
        <v>1.126976779467006</v>
      </c>
      <c r="BR93" s="8">
        <v>1.0755857967927707</v>
      </c>
      <c r="BS93" s="8">
        <v>1.4057978131195783</v>
      </c>
      <c r="BT93" s="8">
        <v>2.6145560753081591</v>
      </c>
      <c r="BU93" s="8">
        <v>3.0543031720218865</v>
      </c>
      <c r="BV93" s="8">
        <v>1.1016947985991348</v>
      </c>
      <c r="BW93" s="8">
        <v>0.89830520140086512</v>
      </c>
      <c r="BX93" s="8">
        <v>0</v>
      </c>
      <c r="BY93" s="8">
        <v>13</v>
      </c>
      <c r="BZ93" s="8">
        <v>13</v>
      </c>
      <c r="CA93" s="8">
        <v>12</v>
      </c>
      <c r="CB93" s="8">
        <v>12</v>
      </c>
      <c r="CC93" s="8">
        <v>2</v>
      </c>
      <c r="CD93" s="8">
        <v>0</v>
      </c>
      <c r="CE93" s="8">
        <v>52</v>
      </c>
      <c r="CF93" s="9">
        <v>2.4612762945683202</v>
      </c>
      <c r="CG93" s="9">
        <v>2.0583745927248263</v>
      </c>
      <c r="CH93" s="9">
        <v>1.9341757316983508</v>
      </c>
      <c r="CI93" s="9">
        <v>1.892301912811893</v>
      </c>
      <c r="CJ93" s="9">
        <v>2.1550676890476135</v>
      </c>
      <c r="CK93" s="9">
        <v>3.2397833747926428</v>
      </c>
      <c r="CL93" s="9">
        <v>4.2590204043563551</v>
      </c>
      <c r="CM93" s="9">
        <v>2.2199055220643209</v>
      </c>
      <c r="CN93" s="9">
        <v>1.8694317536058871</v>
      </c>
      <c r="CO93" s="9">
        <v>1.6967699774298601</v>
      </c>
      <c r="CP93" s="9">
        <v>1.6848508736624666</v>
      </c>
      <c r="CQ93" s="9">
        <v>2.2717565875155827</v>
      </c>
      <c r="CR93" s="9">
        <v>3.6644591742523649</v>
      </c>
      <c r="CS93" s="9">
        <v>4.5928261114695177</v>
      </c>
      <c r="CT93" s="9">
        <v>2.4242856895705955</v>
      </c>
      <c r="CU93" s="9">
        <v>1.9341584049868545</v>
      </c>
      <c r="CV93" s="9">
        <v>1.7380932168693324</v>
      </c>
      <c r="CW93" s="9">
        <v>1.6208522658794642</v>
      </c>
      <c r="CX93" s="9">
        <v>1.958017512803232</v>
      </c>
      <c r="CY93" s="9">
        <v>3.4402876919930749</v>
      </c>
      <c r="CZ93" s="9">
        <v>3.8843052178974475</v>
      </c>
      <c r="DA93" s="9">
        <v>2.1558380872077239</v>
      </c>
      <c r="DB93" s="9">
        <v>1.7784355956216711</v>
      </c>
      <c r="DC93" s="9">
        <v>1.6558705206653017</v>
      </c>
      <c r="DD93" s="9">
        <v>1.5714089152097264</v>
      </c>
      <c r="DE93" s="9">
        <v>2.0304867801483963</v>
      </c>
      <c r="DF93" s="9">
        <v>3.6491124130788419</v>
      </c>
      <c r="DG93" s="9">
        <v>4.1588476880683363</v>
      </c>
      <c r="DH93" s="9">
        <v>1.1016947985991348</v>
      </c>
      <c r="DI93" s="9">
        <v>0.89830520140086512</v>
      </c>
      <c r="DJ93" s="9"/>
      <c r="DK93" s="9">
        <v>18</v>
      </c>
      <c r="DL93" s="9">
        <v>18</v>
      </c>
      <c r="DM93" s="9">
        <v>17</v>
      </c>
      <c r="DN93" s="9">
        <v>17</v>
      </c>
      <c r="DO93" s="9">
        <v>2</v>
      </c>
      <c r="DP93" s="9"/>
      <c r="DQ93" s="9">
        <v>72</v>
      </c>
      <c r="DR93" s="8">
        <f>+SUM(Tabla2[[#This Row],[1 gral]:[1 gral]])</f>
        <v>2.4612762945683202</v>
      </c>
      <c r="DS93" s="8">
        <f>+SUM(Tabla2[[#This Row],[1 temm]:[1 temm]])</f>
        <v>1.7899304599167285</v>
      </c>
      <c r="DT93" s="8">
        <f>+SUM(Tabla2[[#This Row],[1 porta]:[1 porta]])</f>
        <v>0.12059800083105997</v>
      </c>
      <c r="DU93" s="8">
        <f>+Tabla2[[#This Row],[GRAL]]-(Tabla2[[#This Row],[TEMM14]]+Tabla2[[#This Row],[PORTA15]])</f>
        <v>0.55074783382053183</v>
      </c>
    </row>
    <row r="94" spans="1:125" hidden="1" x14ac:dyDescent="0.2">
      <c r="A94" s="84" t="s">
        <v>457</v>
      </c>
      <c r="B94" s="84" t="s">
        <v>483</v>
      </c>
      <c r="C94" s="11" t="s">
        <v>453</v>
      </c>
      <c r="D94" s="11">
        <v>2093377</v>
      </c>
      <c r="E94" s="11" t="s">
        <v>440</v>
      </c>
      <c r="F94" s="11" t="s">
        <v>467</v>
      </c>
      <c r="G94" s="43" t="s">
        <v>282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0.98121347329160713</v>
      </c>
      <c r="AK94" s="10">
        <v>1.0187865267083926</v>
      </c>
      <c r="AL94" s="10">
        <v>0</v>
      </c>
      <c r="AM94" s="6">
        <v>0</v>
      </c>
      <c r="AN94" s="8">
        <v>0</v>
      </c>
      <c r="AO94" s="8">
        <v>0</v>
      </c>
      <c r="AP94" s="8">
        <v>0</v>
      </c>
      <c r="AQ94" s="8">
        <v>2</v>
      </c>
      <c r="AR94" s="8">
        <v>0</v>
      </c>
      <c r="AS94" s="64">
        <v>2</v>
      </c>
      <c r="AT94" s="8">
        <v>0.82612175073079774</v>
      </c>
      <c r="AU94" s="8">
        <v>0.66722686455181934</v>
      </c>
      <c r="AV94" s="8">
        <v>0.62751353376720886</v>
      </c>
      <c r="AW94" s="8">
        <v>0.6149055477429235</v>
      </c>
      <c r="AX94" s="8">
        <v>0.70282123310374456</v>
      </c>
      <c r="AY94" s="8">
        <v>1.0914184854012434</v>
      </c>
      <c r="AZ94" s="8">
        <v>1.469992584702263</v>
      </c>
      <c r="BA94" s="8">
        <v>0.73600121077039027</v>
      </c>
      <c r="BB94" s="8">
        <v>0.60435968859644829</v>
      </c>
      <c r="BC94" s="8">
        <v>0.55062471492813991</v>
      </c>
      <c r="BD94" s="8">
        <v>0.54082543606959266</v>
      </c>
      <c r="BE94" s="8">
        <v>0.74481551832586712</v>
      </c>
      <c r="BF94" s="8">
        <v>1.2332758227565859</v>
      </c>
      <c r="BG94" s="8">
        <v>1.5900976085529761</v>
      </c>
      <c r="BH94" s="8">
        <v>0.85662080697680731</v>
      </c>
      <c r="BI94" s="8">
        <v>0.66377921698950393</v>
      </c>
      <c r="BJ94" s="8">
        <v>0.59563738279234812</v>
      </c>
      <c r="BK94" s="8">
        <v>0.55295390311034676</v>
      </c>
      <c r="BL94" s="8">
        <v>0.67660118482184461</v>
      </c>
      <c r="BM94" s="8">
        <v>1.2297316191313614</v>
      </c>
      <c r="BN94" s="8">
        <v>1.4246758861777882</v>
      </c>
      <c r="BO94" s="8">
        <v>0.75420638438276777</v>
      </c>
      <c r="BP94" s="8">
        <v>0.60718379726253091</v>
      </c>
      <c r="BQ94" s="8">
        <v>0.56348838973350301</v>
      </c>
      <c r="BR94" s="8">
        <v>0.53779289839638533</v>
      </c>
      <c r="BS94" s="8">
        <v>0.70289890655978915</v>
      </c>
      <c r="BT94" s="8">
        <v>1.3072780376540796</v>
      </c>
      <c r="BU94" s="8">
        <v>1.5271515860109433</v>
      </c>
      <c r="BV94" s="8">
        <v>0.55084739929956739</v>
      </c>
      <c r="BW94" s="8">
        <v>0.44915260070043256</v>
      </c>
      <c r="BX94" s="8">
        <v>0</v>
      </c>
      <c r="BY94" s="8">
        <v>6</v>
      </c>
      <c r="BZ94" s="8">
        <v>6</v>
      </c>
      <c r="CA94" s="8">
        <v>6</v>
      </c>
      <c r="CB94" s="8">
        <v>6</v>
      </c>
      <c r="CC94" s="8">
        <v>1</v>
      </c>
      <c r="CD94" s="8">
        <v>0</v>
      </c>
      <c r="CE94" s="8">
        <v>25</v>
      </c>
      <c r="CF94" s="9">
        <v>1.2391826260961967</v>
      </c>
      <c r="CG94" s="9">
        <v>1.000840296827729</v>
      </c>
      <c r="CH94" s="9">
        <v>0.9412703006508133</v>
      </c>
      <c r="CI94" s="9">
        <v>0.92235832161438525</v>
      </c>
      <c r="CJ94" s="9">
        <v>1.0542318496556169</v>
      </c>
      <c r="CK94" s="9">
        <v>1.637127728101865</v>
      </c>
      <c r="CL94" s="9">
        <v>2.2049888770533945</v>
      </c>
      <c r="CM94" s="9">
        <v>1.1040018161555853</v>
      </c>
      <c r="CN94" s="9">
        <v>0.90653953289467237</v>
      </c>
      <c r="CO94" s="9">
        <v>0.82593707239220993</v>
      </c>
      <c r="CP94" s="9">
        <v>0.81123815410438893</v>
      </c>
      <c r="CQ94" s="9">
        <v>1.1172232774888007</v>
      </c>
      <c r="CR94" s="9">
        <v>1.8499137341348788</v>
      </c>
      <c r="CS94" s="9">
        <v>2.3851464128294642</v>
      </c>
      <c r="CT94" s="9">
        <v>1.2849312104652109</v>
      </c>
      <c r="CU94" s="9">
        <v>0.99566882548425584</v>
      </c>
      <c r="CV94" s="9">
        <v>0.89345607418852224</v>
      </c>
      <c r="CW94" s="9">
        <v>0.82943085466552013</v>
      </c>
      <c r="CX94" s="9">
        <v>1.0149017772327669</v>
      </c>
      <c r="CY94" s="9">
        <v>1.8445974286970421</v>
      </c>
      <c r="CZ94" s="9">
        <v>2.1370138292666825</v>
      </c>
      <c r="DA94" s="9">
        <v>1.1313095765741517</v>
      </c>
      <c r="DB94" s="9">
        <v>0.91077569589379637</v>
      </c>
      <c r="DC94" s="9">
        <v>0.84523258460025452</v>
      </c>
      <c r="DD94" s="9">
        <v>0.806689347594578</v>
      </c>
      <c r="DE94" s="9">
        <v>1.0543483598396837</v>
      </c>
      <c r="DF94" s="9">
        <v>1.9609170564811194</v>
      </c>
      <c r="DG94" s="9">
        <v>2.2907273790164151</v>
      </c>
      <c r="DH94" s="9">
        <v>2.0829082718907417</v>
      </c>
      <c r="DI94" s="9">
        <v>1.9170917281092577</v>
      </c>
      <c r="DJ94" s="9"/>
      <c r="DK94" s="9">
        <v>9</v>
      </c>
      <c r="DL94" s="9">
        <v>9</v>
      </c>
      <c r="DM94" s="9">
        <v>9</v>
      </c>
      <c r="DN94" s="9">
        <v>9</v>
      </c>
      <c r="DO94" s="9">
        <v>4</v>
      </c>
      <c r="DP94" s="9"/>
      <c r="DQ94" s="9">
        <v>40</v>
      </c>
      <c r="DR94" s="8">
        <f>+SUM(Tabla2[[#This Row],[1 gral]:[1 gral]])</f>
        <v>1.2391826260961967</v>
      </c>
      <c r="DS94" s="8">
        <f>+SUM(Tabla2[[#This Row],[1 temm]:[1 temm]])</f>
        <v>0.82612175073079774</v>
      </c>
      <c r="DT94" s="8">
        <f>+SUM(Tabla2[[#This Row],[1 porta]:[1 porta]])</f>
        <v>0</v>
      </c>
      <c r="DU94" s="8">
        <f>+Tabla2[[#This Row],[GRAL]]-(Tabla2[[#This Row],[TEMM14]]+Tabla2[[#This Row],[PORTA15]])</f>
        <v>0.41306087536539893</v>
      </c>
    </row>
    <row r="95" spans="1:125" x14ac:dyDescent="0.2">
      <c r="A95" s="84" t="s">
        <v>99</v>
      </c>
      <c r="B95" s="84" t="s">
        <v>482</v>
      </c>
      <c r="C95" s="11" t="s">
        <v>125</v>
      </c>
      <c r="D95" s="11">
        <v>2093389</v>
      </c>
      <c r="E95" s="11" t="s">
        <v>45</v>
      </c>
      <c r="F95" s="11" t="s">
        <v>308</v>
      </c>
      <c r="G95" s="43" t="s">
        <v>281</v>
      </c>
      <c r="H95" s="10">
        <v>0.12059800083105997</v>
      </c>
      <c r="I95" s="10">
        <v>0.16789847649467127</v>
      </c>
      <c r="J95" s="10">
        <v>0.1562207193579257</v>
      </c>
      <c r="K95" s="10">
        <v>0.15006952754027642</v>
      </c>
      <c r="L95" s="10">
        <v>0.16374086192033718</v>
      </c>
      <c r="M95" s="10">
        <v>0.14743099948912008</v>
      </c>
      <c r="N95" s="10">
        <v>9.4041414366609274E-2</v>
      </c>
      <c r="O95" s="10">
        <v>0.13456875821488182</v>
      </c>
      <c r="P95" s="10">
        <v>0.15707930258261715</v>
      </c>
      <c r="Q95" s="10">
        <v>0.1366666184667969</v>
      </c>
      <c r="R95" s="10">
        <v>0.15251213813195408</v>
      </c>
      <c r="S95" s="10">
        <v>0.16144595225895933</v>
      </c>
      <c r="T95" s="10">
        <v>0.17017767644203829</v>
      </c>
      <c r="U95" s="10">
        <v>8.7549553902752458E-2</v>
      </c>
      <c r="V95" s="10">
        <v>0.13996353763244257</v>
      </c>
      <c r="W95" s="10">
        <v>0.16408049301484401</v>
      </c>
      <c r="X95" s="10">
        <v>0.14972686275640418</v>
      </c>
      <c r="Y95" s="10">
        <v>0.1463085242518728</v>
      </c>
      <c r="Z95" s="10">
        <v>0.15374768661164634</v>
      </c>
      <c r="AA95" s="10">
        <v>0.16100337430944414</v>
      </c>
      <c r="AB95" s="10">
        <v>8.5169521423346065E-2</v>
      </c>
      <c r="AC95" s="10">
        <v>0.14462106218700971</v>
      </c>
      <c r="AD95" s="10">
        <v>0.15927880292158872</v>
      </c>
      <c r="AE95" s="10">
        <v>0.15323481470929368</v>
      </c>
      <c r="AF95" s="10">
        <v>0.13729451948603222</v>
      </c>
      <c r="AG95" s="10">
        <v>0.15608969598895889</v>
      </c>
      <c r="AH95" s="10">
        <v>0.163037646001296</v>
      </c>
      <c r="AI95" s="10">
        <v>8.6443458705820736E-2</v>
      </c>
      <c r="AJ95" s="10">
        <v>0.49060673664580357</v>
      </c>
      <c r="AK95" s="10">
        <v>0.50939326335419632</v>
      </c>
      <c r="AL95" s="10">
        <v>0</v>
      </c>
      <c r="AM95" s="6">
        <v>1</v>
      </c>
      <c r="AN95" s="8">
        <v>1</v>
      </c>
      <c r="AO95" s="8">
        <v>1</v>
      </c>
      <c r="AP95" s="8">
        <v>1</v>
      </c>
      <c r="AQ95" s="8">
        <v>1</v>
      </c>
      <c r="AR95" s="8">
        <v>0</v>
      </c>
      <c r="AS95" s="87">
        <v>5</v>
      </c>
      <c r="AT95" s="8">
        <v>0.41306087536539887</v>
      </c>
      <c r="AU95" s="8">
        <v>0.33361343227590967</v>
      </c>
      <c r="AV95" s="8">
        <v>0.31375676688360443</v>
      </c>
      <c r="AW95" s="8">
        <v>0.30745277387146175</v>
      </c>
      <c r="AX95" s="8">
        <v>0.35141061655187228</v>
      </c>
      <c r="AY95" s="8">
        <v>0.54570924270062171</v>
      </c>
      <c r="AZ95" s="8">
        <v>0.73499629235113151</v>
      </c>
      <c r="BA95" s="8">
        <v>0.36800060538519513</v>
      </c>
      <c r="BB95" s="8">
        <v>0.30217984429822414</v>
      </c>
      <c r="BC95" s="8">
        <v>0.27531235746406996</v>
      </c>
      <c r="BD95" s="8">
        <v>0.27041271803479633</v>
      </c>
      <c r="BE95" s="8">
        <v>0.37240775916293356</v>
      </c>
      <c r="BF95" s="8">
        <v>0.61663791137829294</v>
      </c>
      <c r="BG95" s="8">
        <v>0.79504880427648805</v>
      </c>
      <c r="BH95" s="8">
        <v>0.42831040348840366</v>
      </c>
      <c r="BI95" s="8">
        <v>0.33188960849475196</v>
      </c>
      <c r="BJ95" s="8">
        <v>0.29781869139617406</v>
      </c>
      <c r="BK95" s="8">
        <v>0.27647695155517338</v>
      </c>
      <c r="BL95" s="8">
        <v>0.33830059241092231</v>
      </c>
      <c r="BM95" s="8">
        <v>0.61486580956568071</v>
      </c>
      <c r="BN95" s="8">
        <v>0.71233794308889409</v>
      </c>
      <c r="BO95" s="8">
        <v>0.37710319219138388</v>
      </c>
      <c r="BP95" s="8">
        <v>0.30359189863126546</v>
      </c>
      <c r="BQ95" s="8">
        <v>0.28174419486675151</v>
      </c>
      <c r="BR95" s="8">
        <v>0.26889644919819267</v>
      </c>
      <c r="BS95" s="8">
        <v>0.35144945327989457</v>
      </c>
      <c r="BT95" s="8">
        <v>0.65363901882703979</v>
      </c>
      <c r="BU95" s="8">
        <v>0.76357579300547163</v>
      </c>
      <c r="BV95" s="8">
        <v>1.1016947985991348</v>
      </c>
      <c r="BW95" s="8">
        <v>0.89830520140086512</v>
      </c>
      <c r="BX95" s="8">
        <v>0</v>
      </c>
      <c r="BY95" s="8">
        <v>3</v>
      </c>
      <c r="BZ95" s="8">
        <v>3</v>
      </c>
      <c r="CA95" s="8">
        <v>3</v>
      </c>
      <c r="CB95" s="8">
        <v>3</v>
      </c>
      <c r="CC95" s="8">
        <v>2</v>
      </c>
      <c r="CD95" s="8">
        <v>0</v>
      </c>
      <c r="CE95" s="8">
        <v>14</v>
      </c>
      <c r="CF95" s="9">
        <v>0.94671975156185773</v>
      </c>
      <c r="CG95" s="9">
        <v>0.83512534104649061</v>
      </c>
      <c r="CH95" s="9">
        <v>0.78373425312513456</v>
      </c>
      <c r="CI95" s="9">
        <v>0.76497507528319986</v>
      </c>
      <c r="CJ95" s="9">
        <v>0.86656209502408177</v>
      </c>
      <c r="CK95" s="9">
        <v>1.2388494848903635</v>
      </c>
      <c r="CL95" s="9">
        <v>1.5640339990688723</v>
      </c>
      <c r="CM95" s="9">
        <v>0.87056996898527217</v>
      </c>
      <c r="CN95" s="9">
        <v>0.76143899117906544</v>
      </c>
      <c r="CO95" s="9">
        <v>0.68729133339493687</v>
      </c>
      <c r="CP95" s="9">
        <v>0.69333757420154674</v>
      </c>
      <c r="CQ95" s="9">
        <v>0.90626147058482642</v>
      </c>
      <c r="CR95" s="9">
        <v>1.4034534991986241</v>
      </c>
      <c r="CS95" s="9">
        <v>1.6776471624557285</v>
      </c>
      <c r="CT95" s="9">
        <v>0.99658434460924983</v>
      </c>
      <c r="CU95" s="9">
        <v>0.82785971000434788</v>
      </c>
      <c r="CV95" s="9">
        <v>0.74536424554875236</v>
      </c>
      <c r="CW95" s="9">
        <v>0.69926242736221955</v>
      </c>
      <c r="CX95" s="9">
        <v>0.83034887143349101</v>
      </c>
      <c r="CY95" s="9">
        <v>1.3907349934408055</v>
      </c>
      <c r="CZ95" s="9">
        <v>1.5098454076011343</v>
      </c>
      <c r="DA95" s="9">
        <v>0.77312638250598287</v>
      </c>
      <c r="DB95" s="9">
        <v>0.66526530064036438</v>
      </c>
      <c r="DC95" s="9">
        <v>0.62280847282054619</v>
      </c>
      <c r="DD95" s="9">
        <v>0.58545526814968663</v>
      </c>
      <c r="DE95" s="9">
        <v>0.74183878478878318</v>
      </c>
      <c r="DF95" s="9">
        <v>1.252436010713029</v>
      </c>
      <c r="DG95" s="9">
        <v>1.3590697803816068</v>
      </c>
      <c r="DH95" s="9">
        <v>1.5923015352449383</v>
      </c>
      <c r="DI95" s="9">
        <v>1.4076984647550614</v>
      </c>
      <c r="DJ95" s="9"/>
      <c r="DK95" s="9">
        <v>7</v>
      </c>
      <c r="DL95" s="9">
        <v>7</v>
      </c>
      <c r="DM95" s="9">
        <v>7</v>
      </c>
      <c r="DN95" s="9">
        <v>6</v>
      </c>
      <c r="DO95" s="9">
        <v>3</v>
      </c>
      <c r="DP95" s="9"/>
      <c r="DQ95" s="9">
        <v>30</v>
      </c>
      <c r="DR95" s="8">
        <f>+SUM(Tabla2[[#This Row],[1 gral]:[1 gral]])</f>
        <v>0.94671975156185773</v>
      </c>
      <c r="DS95" s="8">
        <f>+SUM(Tabla2[[#This Row],[1 temm]:[1 temm]])</f>
        <v>0.41306087536539887</v>
      </c>
      <c r="DT95" s="8">
        <f>+SUM(Tabla2[[#This Row],[1 porta]:[1 porta]])</f>
        <v>0.12059800083105997</v>
      </c>
      <c r="DU95" s="8">
        <f>+Tabla2[[#This Row],[GRAL]]-(Tabla2[[#This Row],[TEMM14]]+Tabla2[[#This Row],[PORTA15]])</f>
        <v>0.41306087536539893</v>
      </c>
    </row>
    <row r="96" spans="1:125" x14ac:dyDescent="0.2">
      <c r="A96" s="84" t="s">
        <v>123</v>
      </c>
      <c r="B96" s="84" t="s">
        <v>482</v>
      </c>
      <c r="C96" s="11" t="s">
        <v>125</v>
      </c>
      <c r="D96" s="11">
        <v>2093457</v>
      </c>
      <c r="E96" s="11" t="s">
        <v>46</v>
      </c>
      <c r="F96" s="11" t="s">
        <v>306</v>
      </c>
      <c r="G96" s="43" t="s">
        <v>281</v>
      </c>
      <c r="H96" s="10">
        <v>0.12059800083105997</v>
      </c>
      <c r="I96" s="10">
        <v>0.16789847649467127</v>
      </c>
      <c r="J96" s="10">
        <v>0.1562207193579257</v>
      </c>
      <c r="K96" s="10">
        <v>0.15006952754027642</v>
      </c>
      <c r="L96" s="10">
        <v>0.16374086192033718</v>
      </c>
      <c r="M96" s="10">
        <v>0.14743099948912008</v>
      </c>
      <c r="N96" s="10">
        <v>9.4041414366609274E-2</v>
      </c>
      <c r="O96" s="10">
        <v>0.13456875821488182</v>
      </c>
      <c r="P96" s="10">
        <v>0.15707930258261715</v>
      </c>
      <c r="Q96" s="10">
        <v>0.1366666184667969</v>
      </c>
      <c r="R96" s="10">
        <v>0.15251213813195408</v>
      </c>
      <c r="S96" s="10">
        <v>0.16144595225895933</v>
      </c>
      <c r="T96" s="10">
        <v>0.17017767644203829</v>
      </c>
      <c r="U96" s="10">
        <v>8.7549553902752458E-2</v>
      </c>
      <c r="V96" s="10">
        <v>0.13996353763244257</v>
      </c>
      <c r="W96" s="10">
        <v>0.16408049301484401</v>
      </c>
      <c r="X96" s="10">
        <v>0.14972686275640418</v>
      </c>
      <c r="Y96" s="10">
        <v>0.1463085242518728</v>
      </c>
      <c r="Z96" s="10">
        <v>0.15374768661164634</v>
      </c>
      <c r="AA96" s="10">
        <v>0.16100337430944414</v>
      </c>
      <c r="AB96" s="10">
        <v>8.5169521423346065E-2</v>
      </c>
      <c r="AC96" s="10">
        <v>0.14462106218700971</v>
      </c>
      <c r="AD96" s="10">
        <v>0.15927880292158872</v>
      </c>
      <c r="AE96" s="10">
        <v>0.15323481470929368</v>
      </c>
      <c r="AF96" s="10">
        <v>0.13729451948603222</v>
      </c>
      <c r="AG96" s="10">
        <v>0.15608969598895889</v>
      </c>
      <c r="AH96" s="10">
        <v>0.163037646001296</v>
      </c>
      <c r="AI96" s="10">
        <v>8.6443458705820736E-2</v>
      </c>
      <c r="AJ96" s="10">
        <v>0.49060673664580357</v>
      </c>
      <c r="AK96" s="10">
        <v>0.50939326335419632</v>
      </c>
      <c r="AL96" s="10">
        <v>0</v>
      </c>
      <c r="AM96" s="6">
        <v>1</v>
      </c>
      <c r="AN96" s="8">
        <v>1</v>
      </c>
      <c r="AO96" s="8">
        <v>1</v>
      </c>
      <c r="AP96" s="8">
        <v>1</v>
      </c>
      <c r="AQ96" s="8">
        <v>1</v>
      </c>
      <c r="AR96" s="8">
        <v>0</v>
      </c>
      <c r="AS96" s="87">
        <v>5</v>
      </c>
      <c r="AT96" s="8">
        <v>0.41306087536539887</v>
      </c>
      <c r="AU96" s="8">
        <v>0.33361343227590967</v>
      </c>
      <c r="AV96" s="8">
        <v>0.31375676688360443</v>
      </c>
      <c r="AW96" s="8">
        <v>0.30745277387146175</v>
      </c>
      <c r="AX96" s="8">
        <v>0.35141061655187228</v>
      </c>
      <c r="AY96" s="8">
        <v>0.54570924270062171</v>
      </c>
      <c r="AZ96" s="8">
        <v>0.73499629235113151</v>
      </c>
      <c r="BA96" s="8">
        <v>0.36800060538519513</v>
      </c>
      <c r="BB96" s="8">
        <v>0.30217984429822414</v>
      </c>
      <c r="BC96" s="8">
        <v>0.27531235746406996</v>
      </c>
      <c r="BD96" s="8">
        <v>0.27041271803479633</v>
      </c>
      <c r="BE96" s="8">
        <v>0.37240775916293356</v>
      </c>
      <c r="BF96" s="8">
        <v>0.61663791137829294</v>
      </c>
      <c r="BG96" s="8">
        <v>0.79504880427648805</v>
      </c>
      <c r="BH96" s="8">
        <v>0.42831040348840366</v>
      </c>
      <c r="BI96" s="8">
        <v>0.33188960849475196</v>
      </c>
      <c r="BJ96" s="8">
        <v>0.29781869139617406</v>
      </c>
      <c r="BK96" s="8">
        <v>0.27647695155517338</v>
      </c>
      <c r="BL96" s="8">
        <v>0.33830059241092231</v>
      </c>
      <c r="BM96" s="8">
        <v>0.61486580956568071</v>
      </c>
      <c r="BN96" s="8">
        <v>0.71233794308889409</v>
      </c>
      <c r="BO96" s="8">
        <v>0.37710319219138388</v>
      </c>
      <c r="BP96" s="8">
        <v>0.30359189863126546</v>
      </c>
      <c r="BQ96" s="8">
        <v>0.28174419486675151</v>
      </c>
      <c r="BR96" s="8">
        <v>0.26889644919819267</v>
      </c>
      <c r="BS96" s="8">
        <v>0.35144945327989457</v>
      </c>
      <c r="BT96" s="8">
        <v>0.65363901882703979</v>
      </c>
      <c r="BU96" s="8">
        <v>0.76357579300547163</v>
      </c>
      <c r="BV96" s="8">
        <v>1.1016947985991348</v>
      </c>
      <c r="BW96" s="8">
        <v>0.89830520140086512</v>
      </c>
      <c r="BX96" s="8">
        <v>0</v>
      </c>
      <c r="BY96" s="8">
        <v>3</v>
      </c>
      <c r="BZ96" s="8">
        <v>3</v>
      </c>
      <c r="CA96" s="8">
        <v>3</v>
      </c>
      <c r="CB96" s="8">
        <v>3</v>
      </c>
      <c r="CC96" s="8">
        <v>2</v>
      </c>
      <c r="CD96" s="8">
        <v>0</v>
      </c>
      <c r="CE96" s="8">
        <v>14</v>
      </c>
      <c r="CF96" s="9">
        <v>0.94671975156185773</v>
      </c>
      <c r="CG96" s="9">
        <v>0.83512534104649061</v>
      </c>
      <c r="CH96" s="9">
        <v>0.78373425312513456</v>
      </c>
      <c r="CI96" s="9">
        <v>0.76497507528319986</v>
      </c>
      <c r="CJ96" s="9">
        <v>0.86656209502408177</v>
      </c>
      <c r="CK96" s="9">
        <v>1.2388494848903635</v>
      </c>
      <c r="CL96" s="9">
        <v>1.5640339990688723</v>
      </c>
      <c r="CM96" s="9">
        <v>0.87056996898527217</v>
      </c>
      <c r="CN96" s="9">
        <v>0.76143899117906544</v>
      </c>
      <c r="CO96" s="9">
        <v>0.68729133339493687</v>
      </c>
      <c r="CP96" s="9">
        <v>0.69333757420154674</v>
      </c>
      <c r="CQ96" s="9">
        <v>0.90626147058482642</v>
      </c>
      <c r="CR96" s="9">
        <v>1.4034534991986241</v>
      </c>
      <c r="CS96" s="9">
        <v>1.6776471624557285</v>
      </c>
      <c r="CT96" s="9">
        <v>0.99658434460924983</v>
      </c>
      <c r="CU96" s="9">
        <v>0.82785971000434788</v>
      </c>
      <c r="CV96" s="9">
        <v>0.74536424554875236</v>
      </c>
      <c r="CW96" s="9">
        <v>0.69926242736221955</v>
      </c>
      <c r="CX96" s="9">
        <v>0.83034887143349101</v>
      </c>
      <c r="CY96" s="9">
        <v>1.3907349934408055</v>
      </c>
      <c r="CZ96" s="9">
        <v>1.5098454076011343</v>
      </c>
      <c r="DA96" s="9">
        <v>0.77312638250598287</v>
      </c>
      <c r="DB96" s="9">
        <v>0.66526530064036438</v>
      </c>
      <c r="DC96" s="9">
        <v>0.62280847282054619</v>
      </c>
      <c r="DD96" s="9">
        <v>0.58545526814968663</v>
      </c>
      <c r="DE96" s="9">
        <v>0.74183878478878318</v>
      </c>
      <c r="DF96" s="9">
        <v>1.252436010713029</v>
      </c>
      <c r="DG96" s="9">
        <v>1.3590697803816068</v>
      </c>
      <c r="DH96" s="9">
        <v>1.5923015352449383</v>
      </c>
      <c r="DI96" s="9">
        <v>1.4076984647550614</v>
      </c>
      <c r="DJ96" s="9"/>
      <c r="DK96" s="9">
        <v>7</v>
      </c>
      <c r="DL96" s="9">
        <v>7</v>
      </c>
      <c r="DM96" s="9">
        <v>7</v>
      </c>
      <c r="DN96" s="9">
        <v>6</v>
      </c>
      <c r="DO96" s="9">
        <v>3</v>
      </c>
      <c r="DP96" s="9"/>
      <c r="DQ96" s="9">
        <v>30</v>
      </c>
      <c r="DR96" s="8">
        <f>+SUM(Tabla2[[#This Row],[1 gral]:[1 gral]])</f>
        <v>0.94671975156185773</v>
      </c>
      <c r="DS96" s="8">
        <f>+SUM(Tabla2[[#This Row],[1 temm]:[1 temm]])</f>
        <v>0.41306087536539887</v>
      </c>
      <c r="DT96" s="8">
        <f>+SUM(Tabla2[[#This Row],[1 porta]:[1 porta]])</f>
        <v>0.12059800083105997</v>
      </c>
      <c r="DU96" s="8">
        <f>+Tabla2[[#This Row],[GRAL]]-(Tabla2[[#This Row],[TEMM14]]+Tabla2[[#This Row],[PORTA15]])</f>
        <v>0.41306087536539893</v>
      </c>
    </row>
    <row r="97" spans="1:125" x14ac:dyDescent="0.2">
      <c r="A97" s="84" t="s">
        <v>99</v>
      </c>
      <c r="B97" s="84" t="s">
        <v>482</v>
      </c>
      <c r="C97" s="11" t="s">
        <v>126</v>
      </c>
      <c r="D97" s="11">
        <v>2093564</v>
      </c>
      <c r="E97" s="11" t="s">
        <v>105</v>
      </c>
      <c r="F97" s="11" t="s">
        <v>318</v>
      </c>
      <c r="G97" s="43" t="s">
        <v>281</v>
      </c>
      <c r="H97" s="10">
        <v>0.12059800083105997</v>
      </c>
      <c r="I97" s="10">
        <v>0.16789847649467127</v>
      </c>
      <c r="J97" s="10">
        <v>0.1562207193579257</v>
      </c>
      <c r="K97" s="10">
        <v>0.15006952754027642</v>
      </c>
      <c r="L97" s="10">
        <v>0.16374086192033718</v>
      </c>
      <c r="M97" s="10">
        <v>0.14743099948912008</v>
      </c>
      <c r="N97" s="10">
        <v>9.4041414366609274E-2</v>
      </c>
      <c r="O97" s="10">
        <v>0.13456875821488182</v>
      </c>
      <c r="P97" s="10">
        <v>0.15707930258261715</v>
      </c>
      <c r="Q97" s="10">
        <v>0.1366666184667969</v>
      </c>
      <c r="R97" s="10">
        <v>0.15251213813195408</v>
      </c>
      <c r="S97" s="10">
        <v>0.16144595225895933</v>
      </c>
      <c r="T97" s="10">
        <v>0.17017767644203829</v>
      </c>
      <c r="U97" s="10">
        <v>8.7549553902752458E-2</v>
      </c>
      <c r="V97" s="10">
        <v>0.13996353763244257</v>
      </c>
      <c r="W97" s="10">
        <v>0.16408049301484401</v>
      </c>
      <c r="X97" s="10">
        <v>0.14972686275640418</v>
      </c>
      <c r="Y97" s="10">
        <v>0.1463085242518728</v>
      </c>
      <c r="Z97" s="10">
        <v>0.15374768661164634</v>
      </c>
      <c r="AA97" s="10">
        <v>0.16100337430944414</v>
      </c>
      <c r="AB97" s="10">
        <v>8.5169521423346065E-2</v>
      </c>
      <c r="AC97" s="10">
        <v>0.14462106218700971</v>
      </c>
      <c r="AD97" s="10">
        <v>0.15927880292158872</v>
      </c>
      <c r="AE97" s="10">
        <v>0.15323481470929368</v>
      </c>
      <c r="AF97" s="10">
        <v>0.13729451948603222</v>
      </c>
      <c r="AG97" s="10">
        <v>0.15608969598895889</v>
      </c>
      <c r="AH97" s="10">
        <v>0.163037646001296</v>
      </c>
      <c r="AI97" s="10">
        <v>8.6443458705820736E-2</v>
      </c>
      <c r="AJ97" s="10">
        <v>0.49060673664580357</v>
      </c>
      <c r="AK97" s="10">
        <v>0.50939326335419632</v>
      </c>
      <c r="AL97" s="10">
        <v>0</v>
      </c>
      <c r="AM97" s="6">
        <v>1</v>
      </c>
      <c r="AN97" s="8">
        <v>1</v>
      </c>
      <c r="AO97" s="8">
        <v>1</v>
      </c>
      <c r="AP97" s="8">
        <v>1</v>
      </c>
      <c r="AQ97" s="8">
        <v>1</v>
      </c>
      <c r="AR97" s="8">
        <v>0</v>
      </c>
      <c r="AS97" s="87">
        <v>5</v>
      </c>
      <c r="AT97" s="8">
        <v>0.41306087536539887</v>
      </c>
      <c r="AU97" s="8">
        <v>0.33361343227590967</v>
      </c>
      <c r="AV97" s="8">
        <v>0.31375676688360443</v>
      </c>
      <c r="AW97" s="8">
        <v>0.30745277387146175</v>
      </c>
      <c r="AX97" s="8">
        <v>0.35141061655187228</v>
      </c>
      <c r="AY97" s="8">
        <v>0.54570924270062171</v>
      </c>
      <c r="AZ97" s="8">
        <v>0.73499629235113151</v>
      </c>
      <c r="BA97" s="8">
        <v>0.36800060538519513</v>
      </c>
      <c r="BB97" s="8">
        <v>0.30217984429822414</v>
      </c>
      <c r="BC97" s="8">
        <v>0.27531235746406996</v>
      </c>
      <c r="BD97" s="8">
        <v>0.27041271803479633</v>
      </c>
      <c r="BE97" s="8">
        <v>0.37240775916293356</v>
      </c>
      <c r="BF97" s="8">
        <v>0.61663791137829294</v>
      </c>
      <c r="BG97" s="8">
        <v>0.79504880427648805</v>
      </c>
      <c r="BH97" s="8">
        <v>0.42831040348840366</v>
      </c>
      <c r="BI97" s="8">
        <v>0.33188960849475196</v>
      </c>
      <c r="BJ97" s="8">
        <v>0.29781869139617406</v>
      </c>
      <c r="BK97" s="8">
        <v>0.27647695155517338</v>
      </c>
      <c r="BL97" s="8">
        <v>0.33830059241092231</v>
      </c>
      <c r="BM97" s="8">
        <v>0.61486580956568071</v>
      </c>
      <c r="BN97" s="8">
        <v>0.71233794308889409</v>
      </c>
      <c r="BO97" s="8">
        <v>0.37710319219138388</v>
      </c>
      <c r="BP97" s="8">
        <v>0.30359189863126546</v>
      </c>
      <c r="BQ97" s="8">
        <v>0.28174419486675151</v>
      </c>
      <c r="BR97" s="8">
        <v>0.26889644919819267</v>
      </c>
      <c r="BS97" s="8">
        <v>0.35144945327989457</v>
      </c>
      <c r="BT97" s="8">
        <v>0.65363901882703979</v>
      </c>
      <c r="BU97" s="8">
        <v>0.76357579300547163</v>
      </c>
      <c r="BV97" s="8">
        <v>1.1016947985991348</v>
      </c>
      <c r="BW97" s="8">
        <v>0.89830520140086512</v>
      </c>
      <c r="BX97" s="8">
        <v>0</v>
      </c>
      <c r="BY97" s="8">
        <v>3</v>
      </c>
      <c r="BZ97" s="8">
        <v>3</v>
      </c>
      <c r="CA97" s="8">
        <v>3</v>
      </c>
      <c r="CB97" s="8">
        <v>3</v>
      </c>
      <c r="CC97" s="8">
        <v>2</v>
      </c>
      <c r="CD97" s="8">
        <v>0</v>
      </c>
      <c r="CE97" s="8">
        <v>14</v>
      </c>
      <c r="CF97" s="9">
        <v>0.94671975156185773</v>
      </c>
      <c r="CG97" s="9">
        <v>0.83512534104649061</v>
      </c>
      <c r="CH97" s="9">
        <v>0.78373425312513456</v>
      </c>
      <c r="CI97" s="9">
        <v>0.76497507528319986</v>
      </c>
      <c r="CJ97" s="9">
        <v>0.86656209502408177</v>
      </c>
      <c r="CK97" s="9">
        <v>1.2388494848903635</v>
      </c>
      <c r="CL97" s="9">
        <v>1.5640339990688723</v>
      </c>
      <c r="CM97" s="9">
        <v>0.87056996898527217</v>
      </c>
      <c r="CN97" s="9">
        <v>0.76143899117906544</v>
      </c>
      <c r="CO97" s="9">
        <v>0.68729133339493687</v>
      </c>
      <c r="CP97" s="9">
        <v>0.69333757420154674</v>
      </c>
      <c r="CQ97" s="9">
        <v>0.90626147058482642</v>
      </c>
      <c r="CR97" s="9">
        <v>1.4034534991986241</v>
      </c>
      <c r="CS97" s="9">
        <v>1.6776471624557285</v>
      </c>
      <c r="CT97" s="9">
        <v>0.99658434460924983</v>
      </c>
      <c r="CU97" s="9">
        <v>0.82785971000434788</v>
      </c>
      <c r="CV97" s="9">
        <v>0.74536424554875236</v>
      </c>
      <c r="CW97" s="9">
        <v>0.69926242736221955</v>
      </c>
      <c r="CX97" s="9">
        <v>0.83034887143349101</v>
      </c>
      <c r="CY97" s="9">
        <v>1.3907349934408055</v>
      </c>
      <c r="CZ97" s="9">
        <v>1.5098454076011343</v>
      </c>
      <c r="DA97" s="9">
        <v>0.77312638250598287</v>
      </c>
      <c r="DB97" s="9">
        <v>0.66526530064036438</v>
      </c>
      <c r="DC97" s="9">
        <v>0.62280847282054619</v>
      </c>
      <c r="DD97" s="9">
        <v>0.58545526814968663</v>
      </c>
      <c r="DE97" s="9">
        <v>0.74183878478878318</v>
      </c>
      <c r="DF97" s="9">
        <v>1.252436010713029</v>
      </c>
      <c r="DG97" s="9">
        <v>1.3590697803816068</v>
      </c>
      <c r="DH97" s="9">
        <v>1.5923015352449383</v>
      </c>
      <c r="DI97" s="9">
        <v>1.4076984647550614</v>
      </c>
      <c r="DJ97" s="9"/>
      <c r="DK97" s="9">
        <v>7</v>
      </c>
      <c r="DL97" s="9">
        <v>7</v>
      </c>
      <c r="DM97" s="9">
        <v>7</v>
      </c>
      <c r="DN97" s="9">
        <v>6</v>
      </c>
      <c r="DO97" s="9">
        <v>3</v>
      </c>
      <c r="DP97" s="9"/>
      <c r="DQ97" s="9">
        <v>30</v>
      </c>
      <c r="DR97" s="8">
        <f>+SUM(Tabla2[[#This Row],[1 gral]:[1 gral]])</f>
        <v>0.94671975156185773</v>
      </c>
      <c r="DS97" s="8">
        <f>+SUM(Tabla2[[#This Row],[1 temm]:[1 temm]])</f>
        <v>0.41306087536539887</v>
      </c>
      <c r="DT97" s="8">
        <f>+SUM(Tabla2[[#This Row],[1 porta]:[1 porta]])</f>
        <v>0.12059800083105997</v>
      </c>
      <c r="DU97" s="8">
        <f>+Tabla2[[#This Row],[GRAL]]-(Tabla2[[#This Row],[TEMM14]]+Tabla2[[#This Row],[PORTA15]])</f>
        <v>0.41306087536539893</v>
      </c>
    </row>
    <row r="98" spans="1:125" x14ac:dyDescent="0.2">
      <c r="A98" s="84" t="s">
        <v>99</v>
      </c>
      <c r="B98" s="84" t="s">
        <v>482</v>
      </c>
      <c r="C98" s="11" t="s">
        <v>127</v>
      </c>
      <c r="D98" s="11">
        <v>2093570</v>
      </c>
      <c r="E98" s="11" t="s">
        <v>106</v>
      </c>
      <c r="F98" s="11" t="s">
        <v>322</v>
      </c>
      <c r="G98" s="43" t="s">
        <v>281</v>
      </c>
      <c r="H98" s="10">
        <v>0.12059800083105997</v>
      </c>
      <c r="I98" s="10">
        <v>0.16789847649467127</v>
      </c>
      <c r="J98" s="10">
        <v>0.1562207193579257</v>
      </c>
      <c r="K98" s="10">
        <v>0.15006952754027642</v>
      </c>
      <c r="L98" s="10">
        <v>0.16374086192033718</v>
      </c>
      <c r="M98" s="10">
        <v>0.14743099948912008</v>
      </c>
      <c r="N98" s="10">
        <v>9.4041414366609274E-2</v>
      </c>
      <c r="O98" s="10">
        <v>0.13456875821488182</v>
      </c>
      <c r="P98" s="10">
        <v>0.15707930258261715</v>
      </c>
      <c r="Q98" s="10">
        <v>0.1366666184667969</v>
      </c>
      <c r="R98" s="10">
        <v>0.15251213813195408</v>
      </c>
      <c r="S98" s="10">
        <v>0.16144595225895933</v>
      </c>
      <c r="T98" s="10">
        <v>0.17017767644203829</v>
      </c>
      <c r="U98" s="10">
        <v>8.7549553902752458E-2</v>
      </c>
      <c r="V98" s="10">
        <v>0.13996353763244257</v>
      </c>
      <c r="W98" s="10">
        <v>0.16408049301484401</v>
      </c>
      <c r="X98" s="10">
        <v>0.14972686275640418</v>
      </c>
      <c r="Y98" s="10">
        <v>0.1463085242518728</v>
      </c>
      <c r="Z98" s="10">
        <v>0.15374768661164634</v>
      </c>
      <c r="AA98" s="10">
        <v>0.16100337430944414</v>
      </c>
      <c r="AB98" s="10">
        <v>8.5169521423346065E-2</v>
      </c>
      <c r="AC98" s="10">
        <v>0.14462106218700971</v>
      </c>
      <c r="AD98" s="10">
        <v>0.15927880292158872</v>
      </c>
      <c r="AE98" s="10">
        <v>0.15323481470929368</v>
      </c>
      <c r="AF98" s="10">
        <v>0.13729451948603222</v>
      </c>
      <c r="AG98" s="10">
        <v>0.15608969598895889</v>
      </c>
      <c r="AH98" s="10">
        <v>0.163037646001296</v>
      </c>
      <c r="AI98" s="10">
        <v>8.6443458705820736E-2</v>
      </c>
      <c r="AJ98" s="10">
        <v>0.49060673664580357</v>
      </c>
      <c r="AK98" s="10">
        <v>0.50939326335419632</v>
      </c>
      <c r="AL98" s="10">
        <v>0</v>
      </c>
      <c r="AM98" s="6">
        <v>1</v>
      </c>
      <c r="AN98" s="8">
        <v>1</v>
      </c>
      <c r="AO98" s="8">
        <v>1</v>
      </c>
      <c r="AP98" s="8">
        <v>1</v>
      </c>
      <c r="AQ98" s="8">
        <v>1</v>
      </c>
      <c r="AR98" s="8">
        <v>0</v>
      </c>
      <c r="AS98" s="87">
        <v>5</v>
      </c>
      <c r="AT98" s="8">
        <v>0.41306087536539887</v>
      </c>
      <c r="AU98" s="8">
        <v>0.33361343227590967</v>
      </c>
      <c r="AV98" s="8">
        <v>0.31375676688360443</v>
      </c>
      <c r="AW98" s="8">
        <v>0.30745277387146175</v>
      </c>
      <c r="AX98" s="8">
        <v>0.35141061655187228</v>
      </c>
      <c r="AY98" s="8">
        <v>0.54570924270062171</v>
      </c>
      <c r="AZ98" s="8">
        <v>0.73499629235113151</v>
      </c>
      <c r="BA98" s="8">
        <v>0.36800060538519513</v>
      </c>
      <c r="BB98" s="8">
        <v>0.30217984429822414</v>
      </c>
      <c r="BC98" s="8">
        <v>0.27531235746406996</v>
      </c>
      <c r="BD98" s="8">
        <v>0.27041271803479633</v>
      </c>
      <c r="BE98" s="8">
        <v>0.37240775916293356</v>
      </c>
      <c r="BF98" s="8">
        <v>0.61663791137829294</v>
      </c>
      <c r="BG98" s="8">
        <v>0.79504880427648805</v>
      </c>
      <c r="BH98" s="8">
        <v>0.42831040348840366</v>
      </c>
      <c r="BI98" s="8">
        <v>0.33188960849475196</v>
      </c>
      <c r="BJ98" s="8">
        <v>0.29781869139617406</v>
      </c>
      <c r="BK98" s="8">
        <v>0.27647695155517338</v>
      </c>
      <c r="BL98" s="8">
        <v>0.33830059241092231</v>
      </c>
      <c r="BM98" s="8">
        <v>0.61486580956568071</v>
      </c>
      <c r="BN98" s="8">
        <v>0.71233794308889409</v>
      </c>
      <c r="BO98" s="8">
        <v>0.37710319219138388</v>
      </c>
      <c r="BP98" s="8">
        <v>0.30359189863126546</v>
      </c>
      <c r="BQ98" s="8">
        <v>0.28174419486675151</v>
      </c>
      <c r="BR98" s="8">
        <v>0.26889644919819267</v>
      </c>
      <c r="BS98" s="8">
        <v>0.35144945327989457</v>
      </c>
      <c r="BT98" s="8">
        <v>0.65363901882703979</v>
      </c>
      <c r="BU98" s="8">
        <v>0.76357579300547163</v>
      </c>
      <c r="BV98" s="8">
        <v>1.1016947985991348</v>
      </c>
      <c r="BW98" s="8">
        <v>0.89830520140086512</v>
      </c>
      <c r="BX98" s="8">
        <v>0</v>
      </c>
      <c r="BY98" s="8">
        <v>3</v>
      </c>
      <c r="BZ98" s="8">
        <v>3</v>
      </c>
      <c r="CA98" s="8">
        <v>3</v>
      </c>
      <c r="CB98" s="8">
        <v>3</v>
      </c>
      <c r="CC98" s="8">
        <v>2</v>
      </c>
      <c r="CD98" s="8">
        <v>0</v>
      </c>
      <c r="CE98" s="8">
        <v>14</v>
      </c>
      <c r="CF98" s="9">
        <v>0.94671975156185773</v>
      </c>
      <c r="CG98" s="9">
        <v>0.83512534104649061</v>
      </c>
      <c r="CH98" s="9">
        <v>0.78373425312513456</v>
      </c>
      <c r="CI98" s="9">
        <v>0.76497507528319986</v>
      </c>
      <c r="CJ98" s="9">
        <v>0.86656209502408177</v>
      </c>
      <c r="CK98" s="9">
        <v>1.2388494848903635</v>
      </c>
      <c r="CL98" s="9">
        <v>1.5640339990688723</v>
      </c>
      <c r="CM98" s="9">
        <v>0.87056996898527217</v>
      </c>
      <c r="CN98" s="9">
        <v>0.76143899117906544</v>
      </c>
      <c r="CO98" s="9">
        <v>0.68729133339493687</v>
      </c>
      <c r="CP98" s="9">
        <v>0.69333757420154674</v>
      </c>
      <c r="CQ98" s="9">
        <v>0.90626147058482642</v>
      </c>
      <c r="CR98" s="9">
        <v>1.4034534991986241</v>
      </c>
      <c r="CS98" s="9">
        <v>1.6776471624557285</v>
      </c>
      <c r="CT98" s="9">
        <v>0.99658434460924983</v>
      </c>
      <c r="CU98" s="9">
        <v>0.82785971000434788</v>
      </c>
      <c r="CV98" s="9">
        <v>0.74536424554875236</v>
      </c>
      <c r="CW98" s="9">
        <v>0.69926242736221955</v>
      </c>
      <c r="CX98" s="9">
        <v>0.83034887143349101</v>
      </c>
      <c r="CY98" s="9">
        <v>1.3907349934408055</v>
      </c>
      <c r="CZ98" s="9">
        <v>1.5098454076011343</v>
      </c>
      <c r="DA98" s="9">
        <v>0.77312638250598287</v>
      </c>
      <c r="DB98" s="9">
        <v>0.66526530064036438</v>
      </c>
      <c r="DC98" s="9">
        <v>0.62280847282054619</v>
      </c>
      <c r="DD98" s="9">
        <v>0.58545526814968663</v>
      </c>
      <c r="DE98" s="9">
        <v>0.74183878478878318</v>
      </c>
      <c r="DF98" s="9">
        <v>1.252436010713029</v>
      </c>
      <c r="DG98" s="9">
        <v>1.3590697803816068</v>
      </c>
      <c r="DH98" s="9">
        <v>1.5923015352449383</v>
      </c>
      <c r="DI98" s="9">
        <v>1.4076984647550614</v>
      </c>
      <c r="DJ98" s="9"/>
      <c r="DK98" s="9">
        <v>7</v>
      </c>
      <c r="DL98" s="9">
        <v>7</v>
      </c>
      <c r="DM98" s="9">
        <v>7</v>
      </c>
      <c r="DN98" s="9">
        <v>6</v>
      </c>
      <c r="DO98" s="9">
        <v>3</v>
      </c>
      <c r="DP98" s="9"/>
      <c r="DQ98" s="9">
        <v>30</v>
      </c>
      <c r="DR98" s="8">
        <f>+SUM(Tabla2[[#This Row],[1 gral]:[1 gral]])</f>
        <v>0.94671975156185773</v>
      </c>
      <c r="DS98" s="8">
        <f>+SUM(Tabla2[[#This Row],[1 temm]:[1 temm]])</f>
        <v>0.41306087536539887</v>
      </c>
      <c r="DT98" s="8">
        <f>+SUM(Tabla2[[#This Row],[1 porta]:[1 porta]])</f>
        <v>0.12059800083105997</v>
      </c>
      <c r="DU98" s="8">
        <f>+Tabla2[[#This Row],[GRAL]]-(Tabla2[[#This Row],[TEMM14]]+Tabla2[[#This Row],[PORTA15]])</f>
        <v>0.41306087536539893</v>
      </c>
    </row>
    <row r="99" spans="1:125" x14ac:dyDescent="0.2">
      <c r="A99" s="84" t="s">
        <v>123</v>
      </c>
      <c r="B99" s="84" t="s">
        <v>482</v>
      </c>
      <c r="C99" s="11" t="s">
        <v>125</v>
      </c>
      <c r="D99" s="11">
        <v>2093669</v>
      </c>
      <c r="E99" s="11" t="s">
        <v>119</v>
      </c>
      <c r="F99" s="11" t="s">
        <v>306</v>
      </c>
      <c r="G99" s="43" t="s">
        <v>280</v>
      </c>
      <c r="H99" s="10">
        <v>0.12059800083105997</v>
      </c>
      <c r="I99" s="10">
        <v>0.16789847649467127</v>
      </c>
      <c r="J99" s="10">
        <v>0.1562207193579257</v>
      </c>
      <c r="K99" s="10">
        <v>0.15006952754027642</v>
      </c>
      <c r="L99" s="10">
        <v>0.16374086192033718</v>
      </c>
      <c r="M99" s="10">
        <v>0.14743099948912008</v>
      </c>
      <c r="N99" s="10">
        <v>9.4041414366609274E-2</v>
      </c>
      <c r="O99" s="10">
        <v>0.13456875821488182</v>
      </c>
      <c r="P99" s="10">
        <v>0.15707930258261715</v>
      </c>
      <c r="Q99" s="10">
        <v>0.1366666184667969</v>
      </c>
      <c r="R99" s="10">
        <v>0.15251213813195408</v>
      </c>
      <c r="S99" s="10">
        <v>0.16144595225895933</v>
      </c>
      <c r="T99" s="10">
        <v>0.17017767644203829</v>
      </c>
      <c r="U99" s="10">
        <v>8.7549553902752458E-2</v>
      </c>
      <c r="V99" s="10">
        <v>0.13996353763244257</v>
      </c>
      <c r="W99" s="10">
        <v>0.16408049301484401</v>
      </c>
      <c r="X99" s="10">
        <v>0.14972686275640418</v>
      </c>
      <c r="Y99" s="10">
        <v>0.1463085242518728</v>
      </c>
      <c r="Z99" s="10">
        <v>0.15374768661164634</v>
      </c>
      <c r="AA99" s="10">
        <v>0.16100337430944414</v>
      </c>
      <c r="AB99" s="10">
        <v>8.5169521423346065E-2</v>
      </c>
      <c r="AC99" s="10">
        <v>0.14462106218700971</v>
      </c>
      <c r="AD99" s="10">
        <v>0.15927880292158872</v>
      </c>
      <c r="AE99" s="10">
        <v>0.15323481470929368</v>
      </c>
      <c r="AF99" s="10">
        <v>0.13729451948603222</v>
      </c>
      <c r="AG99" s="10">
        <v>0.15608969598895889</v>
      </c>
      <c r="AH99" s="10">
        <v>0.163037646001296</v>
      </c>
      <c r="AI99" s="10">
        <v>8.6443458705820736E-2</v>
      </c>
      <c r="AJ99" s="10">
        <v>0.49060673664580357</v>
      </c>
      <c r="AK99" s="10">
        <v>0.50939326335419632</v>
      </c>
      <c r="AL99" s="10">
        <v>0</v>
      </c>
      <c r="AM99" s="6">
        <v>1</v>
      </c>
      <c r="AN99" s="8">
        <v>1</v>
      </c>
      <c r="AO99" s="8">
        <v>1</v>
      </c>
      <c r="AP99" s="8">
        <v>1</v>
      </c>
      <c r="AQ99" s="8">
        <v>1</v>
      </c>
      <c r="AR99" s="8">
        <v>0</v>
      </c>
      <c r="AS99" s="87">
        <v>5</v>
      </c>
      <c r="AT99" s="8">
        <v>0.55074783382053183</v>
      </c>
      <c r="AU99" s="8">
        <v>0.44481790970121293</v>
      </c>
      <c r="AV99" s="8">
        <v>0.41834235584480589</v>
      </c>
      <c r="AW99" s="8">
        <v>0.40993703182861563</v>
      </c>
      <c r="AX99" s="8">
        <v>0.46854748873582969</v>
      </c>
      <c r="AY99" s="8">
        <v>0.72761232360082895</v>
      </c>
      <c r="AZ99" s="8">
        <v>0.97999505646817542</v>
      </c>
      <c r="BA99" s="8">
        <v>0.49066747384692683</v>
      </c>
      <c r="BB99" s="8">
        <v>0.40290645906429884</v>
      </c>
      <c r="BC99" s="8">
        <v>0.36708314328542663</v>
      </c>
      <c r="BD99" s="8">
        <v>0.36055029071306177</v>
      </c>
      <c r="BE99" s="8">
        <v>0.49654367888391138</v>
      </c>
      <c r="BF99" s="8">
        <v>0.82218388183772395</v>
      </c>
      <c r="BG99" s="8">
        <v>1.0600650723686507</v>
      </c>
      <c r="BH99" s="8">
        <v>0.57108053798453817</v>
      </c>
      <c r="BI99" s="8">
        <v>0.44251947799300262</v>
      </c>
      <c r="BJ99" s="8">
        <v>0.39709158852823206</v>
      </c>
      <c r="BK99" s="8">
        <v>0.36863593540689782</v>
      </c>
      <c r="BL99" s="8">
        <v>0.45106745654789643</v>
      </c>
      <c r="BM99" s="8">
        <v>0.81982107942090765</v>
      </c>
      <c r="BN99" s="8">
        <v>0.94978392411852541</v>
      </c>
      <c r="BO99" s="8">
        <v>0.50280425625517855</v>
      </c>
      <c r="BP99" s="8">
        <v>0.40478919817502057</v>
      </c>
      <c r="BQ99" s="8">
        <v>0.37565892648900201</v>
      </c>
      <c r="BR99" s="8">
        <v>0.35852859893092354</v>
      </c>
      <c r="BS99" s="8">
        <v>0.46859927103985943</v>
      </c>
      <c r="BT99" s="8">
        <v>0.87151869176938646</v>
      </c>
      <c r="BU99" s="8">
        <v>1.0181010573406288</v>
      </c>
      <c r="BV99" s="8">
        <v>2.0829082718907417</v>
      </c>
      <c r="BW99" s="8">
        <v>1.9170917281092579</v>
      </c>
      <c r="BX99" s="8">
        <v>0</v>
      </c>
      <c r="BY99" s="8">
        <v>4</v>
      </c>
      <c r="BZ99" s="8">
        <v>4</v>
      </c>
      <c r="CA99" s="8">
        <v>4</v>
      </c>
      <c r="CB99" s="8">
        <v>4</v>
      </c>
      <c r="CC99" s="8">
        <v>4</v>
      </c>
      <c r="CD99" s="8">
        <v>0</v>
      </c>
      <c r="CE99" s="8">
        <v>20</v>
      </c>
      <c r="CF99" s="9">
        <v>0.94671975156185773</v>
      </c>
      <c r="CG99" s="9">
        <v>0.83512534104649072</v>
      </c>
      <c r="CH99" s="9">
        <v>0.78373425312513445</v>
      </c>
      <c r="CI99" s="9">
        <v>0.76497507528319986</v>
      </c>
      <c r="CJ99" s="9">
        <v>0.86656209502408166</v>
      </c>
      <c r="CK99" s="9">
        <v>1.2388494848903635</v>
      </c>
      <c r="CL99" s="9">
        <v>1.5640339990688723</v>
      </c>
      <c r="CM99" s="9">
        <v>0.87056996898527206</v>
      </c>
      <c r="CN99" s="9">
        <v>0.76143899117906533</v>
      </c>
      <c r="CO99" s="9">
        <v>0.68729133339493687</v>
      </c>
      <c r="CP99" s="9">
        <v>0.69333757420154674</v>
      </c>
      <c r="CQ99" s="9">
        <v>0.90626147058482642</v>
      </c>
      <c r="CR99" s="9">
        <v>1.4034534991986243</v>
      </c>
      <c r="CS99" s="9">
        <v>1.6776471624557283</v>
      </c>
      <c r="CT99" s="9">
        <v>0.99658434460924972</v>
      </c>
      <c r="CU99" s="9">
        <v>0.82785971000434799</v>
      </c>
      <c r="CV99" s="9">
        <v>0.74536424554875225</v>
      </c>
      <c r="CW99" s="9">
        <v>0.69926242736221955</v>
      </c>
      <c r="CX99" s="9">
        <v>0.83034887143349101</v>
      </c>
      <c r="CY99" s="9">
        <v>1.3907349934408055</v>
      </c>
      <c r="CZ99" s="9">
        <v>1.5098454076011341</v>
      </c>
      <c r="DA99" s="9">
        <v>0.89882744656977764</v>
      </c>
      <c r="DB99" s="9">
        <v>0.76646260018411949</v>
      </c>
      <c r="DC99" s="9">
        <v>0.71672320444279669</v>
      </c>
      <c r="DD99" s="9">
        <v>0.67508741788241755</v>
      </c>
      <c r="DE99" s="9">
        <v>0.85898860254874798</v>
      </c>
      <c r="DF99" s="9">
        <v>1.4703156836553757</v>
      </c>
      <c r="DG99" s="9">
        <v>1.613595044716764</v>
      </c>
      <c r="DH99" s="9">
        <v>2.6939963338440731</v>
      </c>
      <c r="DI99" s="9">
        <v>2.3060036661559264</v>
      </c>
      <c r="DJ99" s="9"/>
      <c r="DK99" s="9">
        <v>7</v>
      </c>
      <c r="DL99" s="9">
        <v>7</v>
      </c>
      <c r="DM99" s="9">
        <v>7</v>
      </c>
      <c r="DN99" s="9">
        <v>7</v>
      </c>
      <c r="DO99" s="9">
        <v>5</v>
      </c>
      <c r="DP99" s="9"/>
      <c r="DQ99" s="9">
        <v>33</v>
      </c>
      <c r="DR99" s="8">
        <f>+SUM(Tabla2[[#This Row],[1 gral]:[1 gral]])</f>
        <v>0.94671975156185773</v>
      </c>
      <c r="DS99" s="8">
        <f>+SUM(Tabla2[[#This Row],[1 temm]:[1 temm]])</f>
        <v>0.55074783382053183</v>
      </c>
      <c r="DT99" s="8">
        <f>+SUM(Tabla2[[#This Row],[1 porta]:[1 porta]])</f>
        <v>0.12059800083105997</v>
      </c>
      <c r="DU99" s="8">
        <f>+Tabla2[[#This Row],[GRAL]]-(Tabla2[[#This Row],[TEMM14]]+Tabla2[[#This Row],[PORTA15]])</f>
        <v>0.27537391691026591</v>
      </c>
    </row>
    <row r="100" spans="1:125" hidden="1" x14ac:dyDescent="0.2">
      <c r="A100" s="84" t="s">
        <v>455</v>
      </c>
      <c r="B100" s="84" t="s">
        <v>483</v>
      </c>
      <c r="C100" s="11" t="s">
        <v>450</v>
      </c>
      <c r="D100" s="11">
        <v>2093677</v>
      </c>
      <c r="E100" s="11" t="s">
        <v>441</v>
      </c>
      <c r="F100" s="11" t="s">
        <v>461</v>
      </c>
      <c r="G100" s="43" t="s">
        <v>282</v>
      </c>
      <c r="H100" s="10">
        <v>0.12059800083105997</v>
      </c>
      <c r="I100" s="10">
        <v>0.16789847649467127</v>
      </c>
      <c r="J100" s="10">
        <v>0.1562207193579257</v>
      </c>
      <c r="K100" s="10">
        <v>0.15006952754027642</v>
      </c>
      <c r="L100" s="10">
        <v>0.16374086192033718</v>
      </c>
      <c r="M100" s="10">
        <v>0.14743099948912008</v>
      </c>
      <c r="N100" s="10">
        <v>9.4041414366609274E-2</v>
      </c>
      <c r="O100" s="10">
        <v>0.13456875821488182</v>
      </c>
      <c r="P100" s="10">
        <v>0.15707930258261715</v>
      </c>
      <c r="Q100" s="10">
        <v>0.1366666184667969</v>
      </c>
      <c r="R100" s="10">
        <v>0.15251213813195408</v>
      </c>
      <c r="S100" s="10">
        <v>0.16144595225895933</v>
      </c>
      <c r="T100" s="10">
        <v>0.17017767644203829</v>
      </c>
      <c r="U100" s="10">
        <v>8.7549553902752458E-2</v>
      </c>
      <c r="V100" s="10">
        <v>0.13996353763244257</v>
      </c>
      <c r="W100" s="10">
        <v>0.16408049301484401</v>
      </c>
      <c r="X100" s="10">
        <v>0.14972686275640418</v>
      </c>
      <c r="Y100" s="10">
        <v>0.1463085242518728</v>
      </c>
      <c r="Z100" s="10">
        <v>0.15374768661164634</v>
      </c>
      <c r="AA100" s="10">
        <v>0.16100337430944414</v>
      </c>
      <c r="AB100" s="10">
        <v>8.5169521423346065E-2</v>
      </c>
      <c r="AC100" s="10">
        <v>0.14462106218700971</v>
      </c>
      <c r="AD100" s="10">
        <v>0.15927880292158872</v>
      </c>
      <c r="AE100" s="10">
        <v>0.15323481470929368</v>
      </c>
      <c r="AF100" s="10">
        <v>0.13729451948603222</v>
      </c>
      <c r="AG100" s="10">
        <v>0.15608969598895889</v>
      </c>
      <c r="AH100" s="10">
        <v>0.163037646001296</v>
      </c>
      <c r="AI100" s="10">
        <v>8.6443458705820736E-2</v>
      </c>
      <c r="AJ100" s="10">
        <v>0</v>
      </c>
      <c r="AK100" s="10">
        <v>0</v>
      </c>
      <c r="AL100" s="10">
        <v>0</v>
      </c>
      <c r="AM100" s="6">
        <v>1</v>
      </c>
      <c r="AN100" s="8">
        <v>1</v>
      </c>
      <c r="AO100" s="8">
        <v>1</v>
      </c>
      <c r="AP100" s="8">
        <v>1</v>
      </c>
      <c r="AQ100" s="8">
        <v>0</v>
      </c>
      <c r="AR100" s="8">
        <v>0</v>
      </c>
      <c r="AS100" s="64">
        <v>4</v>
      </c>
      <c r="AT100" s="8">
        <v>0.68843479227566484</v>
      </c>
      <c r="AU100" s="8">
        <v>0.55602238712651619</v>
      </c>
      <c r="AV100" s="8">
        <v>0.52292794480600735</v>
      </c>
      <c r="AW100" s="8">
        <v>0.51242128978576951</v>
      </c>
      <c r="AX100" s="8">
        <v>0.58568436091978715</v>
      </c>
      <c r="AY100" s="8">
        <v>0.90951540450103618</v>
      </c>
      <c r="AZ100" s="8">
        <v>1.2249938205852193</v>
      </c>
      <c r="BA100" s="8">
        <v>0.61333434230865858</v>
      </c>
      <c r="BB100" s="8">
        <v>0.50363307383037359</v>
      </c>
      <c r="BC100" s="8">
        <v>0.4588539291067833</v>
      </c>
      <c r="BD100" s="8">
        <v>0.45068786339132721</v>
      </c>
      <c r="BE100" s="8">
        <v>0.62067959860488919</v>
      </c>
      <c r="BF100" s="8">
        <v>1.027729852297155</v>
      </c>
      <c r="BG100" s="8">
        <v>1.3250813404608133</v>
      </c>
      <c r="BH100" s="8">
        <v>0.71385067248067269</v>
      </c>
      <c r="BI100" s="8">
        <v>0.55314934749125322</v>
      </c>
      <c r="BJ100" s="8">
        <v>0.49636448566029007</v>
      </c>
      <c r="BK100" s="8">
        <v>0.46079491925862226</v>
      </c>
      <c r="BL100" s="8">
        <v>0.56383432068487049</v>
      </c>
      <c r="BM100" s="8">
        <v>1.0247763492761346</v>
      </c>
      <c r="BN100" s="8">
        <v>1.1872299051481567</v>
      </c>
      <c r="BO100" s="8">
        <v>0.62850532031897322</v>
      </c>
      <c r="BP100" s="8">
        <v>0.50598649771877569</v>
      </c>
      <c r="BQ100" s="8">
        <v>0.46957365811125251</v>
      </c>
      <c r="BR100" s="8">
        <v>0.44816074866365441</v>
      </c>
      <c r="BS100" s="8">
        <v>0.58574908879982424</v>
      </c>
      <c r="BT100" s="8">
        <v>1.0893983647117331</v>
      </c>
      <c r="BU100" s="8">
        <v>1.272626321675786</v>
      </c>
      <c r="BV100" s="8">
        <v>0.55084739929956739</v>
      </c>
      <c r="BW100" s="8">
        <v>0.44915260070043256</v>
      </c>
      <c r="BX100" s="8">
        <v>0</v>
      </c>
      <c r="BY100" s="8">
        <v>5</v>
      </c>
      <c r="BZ100" s="8">
        <v>5</v>
      </c>
      <c r="CA100" s="8">
        <v>5</v>
      </c>
      <c r="CB100" s="8">
        <v>5</v>
      </c>
      <c r="CC100" s="8">
        <v>1</v>
      </c>
      <c r="CD100" s="8">
        <v>0</v>
      </c>
      <c r="CE100" s="8">
        <v>21</v>
      </c>
      <c r="CF100" s="9">
        <v>1.3597806269272565</v>
      </c>
      <c r="CG100" s="9">
        <v>1.1687387733224004</v>
      </c>
      <c r="CH100" s="9">
        <v>1.0974910200087389</v>
      </c>
      <c r="CI100" s="9">
        <v>1.0724278491546615</v>
      </c>
      <c r="CJ100" s="9">
        <v>1.217972711575954</v>
      </c>
      <c r="CK100" s="9">
        <v>1.7845587275909853</v>
      </c>
      <c r="CL100" s="9">
        <v>2.2990302914200038</v>
      </c>
      <c r="CM100" s="9">
        <v>1.2385705743704671</v>
      </c>
      <c r="CN100" s="9">
        <v>1.0636188354772895</v>
      </c>
      <c r="CO100" s="9">
        <v>0.96260369085900677</v>
      </c>
      <c r="CP100" s="9">
        <v>0.96375029223634301</v>
      </c>
      <c r="CQ100" s="9">
        <v>1.2786692297477598</v>
      </c>
      <c r="CR100" s="9">
        <v>2.0200914105769172</v>
      </c>
      <c r="CS100" s="9">
        <v>2.4726959667322164</v>
      </c>
      <c r="CT100" s="9">
        <v>1.4248947480976533</v>
      </c>
      <c r="CU100" s="9">
        <v>1.1597493184990999</v>
      </c>
      <c r="CV100" s="9">
        <v>1.0431829369449264</v>
      </c>
      <c r="CW100" s="9">
        <v>0.97573937891739293</v>
      </c>
      <c r="CX100" s="9">
        <v>1.1686494638444134</v>
      </c>
      <c r="CY100" s="9">
        <v>2.0056008030064865</v>
      </c>
      <c r="CZ100" s="9">
        <v>2.2221833506900284</v>
      </c>
      <c r="DA100" s="9">
        <v>1.2759306387611615</v>
      </c>
      <c r="DB100" s="9">
        <v>1.0700544988153848</v>
      </c>
      <c r="DC100" s="9">
        <v>0.9984673993095482</v>
      </c>
      <c r="DD100" s="9">
        <v>0.94398386708061022</v>
      </c>
      <c r="DE100" s="9">
        <v>1.2104380558286425</v>
      </c>
      <c r="DF100" s="9">
        <v>2.1239547024824157</v>
      </c>
      <c r="DG100" s="9">
        <v>2.3771708377222356</v>
      </c>
      <c r="DH100" s="9">
        <v>1.6525421978987023</v>
      </c>
      <c r="DI100" s="9">
        <v>1.3474578021012977</v>
      </c>
      <c r="DJ100" s="9"/>
      <c r="DK100" s="9">
        <v>10</v>
      </c>
      <c r="DL100" s="9">
        <v>10</v>
      </c>
      <c r="DM100" s="9">
        <v>10</v>
      </c>
      <c r="DN100" s="9">
        <v>10</v>
      </c>
      <c r="DO100" s="9">
        <v>3</v>
      </c>
      <c r="DP100" s="9"/>
      <c r="DQ100" s="9">
        <v>43</v>
      </c>
      <c r="DR100" s="8">
        <f>+SUM(Tabla2[[#This Row],[1 gral]:[1 gral]])</f>
        <v>1.3597806269272565</v>
      </c>
      <c r="DS100" s="8">
        <f>+SUM(Tabla2[[#This Row],[1 temm]:[1 temm]])</f>
        <v>0.68843479227566484</v>
      </c>
      <c r="DT100" s="8">
        <f>+SUM(Tabla2[[#This Row],[1 porta]:[1 porta]])</f>
        <v>0.12059800083105997</v>
      </c>
      <c r="DU100" s="8">
        <f>+Tabla2[[#This Row],[GRAL]]-(Tabla2[[#This Row],[TEMM14]]+Tabla2[[#This Row],[PORTA15]])</f>
        <v>0.55074783382053172</v>
      </c>
    </row>
    <row r="101" spans="1:125" x14ac:dyDescent="0.2">
      <c r="A101" s="84" t="s">
        <v>123</v>
      </c>
      <c r="B101" s="84" t="s">
        <v>482</v>
      </c>
      <c r="C101" s="11" t="s">
        <v>126</v>
      </c>
      <c r="D101" s="11">
        <v>2093678</v>
      </c>
      <c r="E101" s="11" t="s">
        <v>121</v>
      </c>
      <c r="F101" s="11" t="s">
        <v>319</v>
      </c>
      <c r="G101" s="43" t="s">
        <v>282</v>
      </c>
      <c r="H101" s="10">
        <v>0.12059800083105997</v>
      </c>
      <c r="I101" s="10">
        <v>0.16789847649467127</v>
      </c>
      <c r="J101" s="10">
        <v>0.1562207193579257</v>
      </c>
      <c r="K101" s="10">
        <v>0.15006952754027642</v>
      </c>
      <c r="L101" s="10">
        <v>0.16374086192033718</v>
      </c>
      <c r="M101" s="10">
        <v>0.14743099948912008</v>
      </c>
      <c r="N101" s="10">
        <v>9.4041414366609274E-2</v>
      </c>
      <c r="O101" s="10">
        <v>0.13456875821488182</v>
      </c>
      <c r="P101" s="10">
        <v>0.15707930258261715</v>
      </c>
      <c r="Q101" s="10">
        <v>0.1366666184667969</v>
      </c>
      <c r="R101" s="10">
        <v>0.15251213813195408</v>
      </c>
      <c r="S101" s="10">
        <v>0.16144595225895933</v>
      </c>
      <c r="T101" s="10">
        <v>0.17017767644203829</v>
      </c>
      <c r="U101" s="10">
        <v>8.7549553902752458E-2</v>
      </c>
      <c r="V101" s="10">
        <v>0.13996353763244257</v>
      </c>
      <c r="W101" s="10">
        <v>0.16408049301484401</v>
      </c>
      <c r="X101" s="10">
        <v>0.14972686275640418</v>
      </c>
      <c r="Y101" s="10">
        <v>0.1463085242518728</v>
      </c>
      <c r="Z101" s="10">
        <v>0.15374768661164634</v>
      </c>
      <c r="AA101" s="10">
        <v>0.16100337430944414</v>
      </c>
      <c r="AB101" s="10">
        <v>8.5169521423346065E-2</v>
      </c>
      <c r="AC101" s="10">
        <v>0.14462106218700971</v>
      </c>
      <c r="AD101" s="10">
        <v>0.15927880292158872</v>
      </c>
      <c r="AE101" s="10">
        <v>0.15323481470929368</v>
      </c>
      <c r="AF101" s="10">
        <v>0.13729451948603222</v>
      </c>
      <c r="AG101" s="10">
        <v>0.15608969598895889</v>
      </c>
      <c r="AH101" s="10">
        <v>0.163037646001296</v>
      </c>
      <c r="AI101" s="10">
        <v>8.6443458705820736E-2</v>
      </c>
      <c r="AJ101" s="10">
        <v>0.49060673664580357</v>
      </c>
      <c r="AK101" s="10">
        <v>0.50939326335419632</v>
      </c>
      <c r="AL101" s="10">
        <v>0</v>
      </c>
      <c r="AM101" s="6">
        <v>1</v>
      </c>
      <c r="AN101" s="8">
        <v>1</v>
      </c>
      <c r="AO101" s="8">
        <v>1</v>
      </c>
      <c r="AP101" s="8">
        <v>1</v>
      </c>
      <c r="AQ101" s="8">
        <v>1</v>
      </c>
      <c r="AR101" s="8">
        <v>0</v>
      </c>
      <c r="AS101" s="87">
        <v>5</v>
      </c>
      <c r="AT101" s="8">
        <v>0.41306087536539887</v>
      </c>
      <c r="AU101" s="8">
        <v>0.33361343227590967</v>
      </c>
      <c r="AV101" s="8">
        <v>0.31375676688360443</v>
      </c>
      <c r="AW101" s="8">
        <v>0.30745277387146175</v>
      </c>
      <c r="AX101" s="8">
        <v>0.35141061655187228</v>
      </c>
      <c r="AY101" s="8">
        <v>0.54570924270062171</v>
      </c>
      <c r="AZ101" s="8">
        <v>0.73499629235113151</v>
      </c>
      <c r="BA101" s="8">
        <v>0.36800060538519513</v>
      </c>
      <c r="BB101" s="8">
        <v>0.30217984429822414</v>
      </c>
      <c r="BC101" s="8">
        <v>0.27531235746406996</v>
      </c>
      <c r="BD101" s="8">
        <v>0.27041271803479633</v>
      </c>
      <c r="BE101" s="8">
        <v>0.37240775916293356</v>
      </c>
      <c r="BF101" s="8">
        <v>0.61663791137829294</v>
      </c>
      <c r="BG101" s="8">
        <v>0.79504880427648805</v>
      </c>
      <c r="BH101" s="8">
        <v>0.42831040348840366</v>
      </c>
      <c r="BI101" s="8">
        <v>0.33188960849475196</v>
      </c>
      <c r="BJ101" s="8">
        <v>0.29781869139617406</v>
      </c>
      <c r="BK101" s="8">
        <v>0.27647695155517338</v>
      </c>
      <c r="BL101" s="8">
        <v>0.33830059241092231</v>
      </c>
      <c r="BM101" s="8">
        <v>0.61486580956568071</v>
      </c>
      <c r="BN101" s="8">
        <v>0.71233794308889409</v>
      </c>
      <c r="BO101" s="8">
        <v>0.37710319219138388</v>
      </c>
      <c r="BP101" s="8">
        <v>0.30359189863126546</v>
      </c>
      <c r="BQ101" s="8">
        <v>0.28174419486675151</v>
      </c>
      <c r="BR101" s="8">
        <v>0.26889644919819267</v>
      </c>
      <c r="BS101" s="8">
        <v>0.35144945327989457</v>
      </c>
      <c r="BT101" s="8">
        <v>0.65363901882703979</v>
      </c>
      <c r="BU101" s="8">
        <v>0.76357579300547163</v>
      </c>
      <c r="BV101" s="8">
        <v>1.1016947985991348</v>
      </c>
      <c r="BW101" s="8">
        <v>0.89830520140086512</v>
      </c>
      <c r="BX101" s="8">
        <v>0</v>
      </c>
      <c r="BY101" s="8">
        <v>3</v>
      </c>
      <c r="BZ101" s="8">
        <v>3</v>
      </c>
      <c r="CA101" s="8">
        <v>3</v>
      </c>
      <c r="CB101" s="8">
        <v>3</v>
      </c>
      <c r="CC101" s="8">
        <v>2</v>
      </c>
      <c r="CD101" s="8">
        <v>0</v>
      </c>
      <c r="CE101" s="8">
        <v>14</v>
      </c>
      <c r="CF101" s="9">
        <v>0.94671975156185773</v>
      </c>
      <c r="CG101" s="9">
        <v>0.83512534104649061</v>
      </c>
      <c r="CH101" s="9">
        <v>0.78373425312513456</v>
      </c>
      <c r="CI101" s="9">
        <v>0.76497507528319986</v>
      </c>
      <c r="CJ101" s="9">
        <v>0.86656209502408177</v>
      </c>
      <c r="CK101" s="9">
        <v>1.2388494848903635</v>
      </c>
      <c r="CL101" s="9">
        <v>1.5640339990688723</v>
      </c>
      <c r="CM101" s="9">
        <v>0.87056996898527217</v>
      </c>
      <c r="CN101" s="9">
        <v>0.76143899117906544</v>
      </c>
      <c r="CO101" s="9">
        <v>0.68729133339493687</v>
      </c>
      <c r="CP101" s="9">
        <v>0.69333757420154674</v>
      </c>
      <c r="CQ101" s="9">
        <v>0.90626147058482642</v>
      </c>
      <c r="CR101" s="9">
        <v>1.4034534991986241</v>
      </c>
      <c r="CS101" s="9">
        <v>1.6776471624557285</v>
      </c>
      <c r="CT101" s="9">
        <v>0.99658434460924983</v>
      </c>
      <c r="CU101" s="9">
        <v>0.82785971000434788</v>
      </c>
      <c r="CV101" s="9">
        <v>0.74536424554875236</v>
      </c>
      <c r="CW101" s="9">
        <v>0.69926242736221955</v>
      </c>
      <c r="CX101" s="9">
        <v>0.83034887143349101</v>
      </c>
      <c r="CY101" s="9">
        <v>1.3907349934408055</v>
      </c>
      <c r="CZ101" s="9">
        <v>1.5098454076011343</v>
      </c>
      <c r="DA101" s="9">
        <v>0.77312638250598287</v>
      </c>
      <c r="DB101" s="9">
        <v>0.66526530064036438</v>
      </c>
      <c r="DC101" s="9">
        <v>0.62280847282054619</v>
      </c>
      <c r="DD101" s="9">
        <v>0.58545526814968663</v>
      </c>
      <c r="DE101" s="9">
        <v>0.74183878478878318</v>
      </c>
      <c r="DF101" s="9">
        <v>1.252436010713029</v>
      </c>
      <c r="DG101" s="9">
        <v>1.3590697803816068</v>
      </c>
      <c r="DH101" s="9">
        <v>1.5923015352449383</v>
      </c>
      <c r="DI101" s="9">
        <v>1.4076984647550614</v>
      </c>
      <c r="DJ101" s="9"/>
      <c r="DK101" s="9">
        <v>7</v>
      </c>
      <c r="DL101" s="9">
        <v>7</v>
      </c>
      <c r="DM101" s="9">
        <v>7</v>
      </c>
      <c r="DN101" s="9">
        <v>6</v>
      </c>
      <c r="DO101" s="9">
        <v>3</v>
      </c>
      <c r="DP101" s="9"/>
      <c r="DQ101" s="9">
        <v>30</v>
      </c>
      <c r="DR101" s="8">
        <f>+SUM(Tabla2[[#This Row],[1 gral]:[1 gral]])</f>
        <v>0.94671975156185773</v>
      </c>
      <c r="DS101" s="8">
        <f>+SUM(Tabla2[[#This Row],[1 temm]:[1 temm]])</f>
        <v>0.41306087536539887</v>
      </c>
      <c r="DT101" s="8">
        <f>+SUM(Tabla2[[#This Row],[1 porta]:[1 porta]])</f>
        <v>0.12059800083105997</v>
      </c>
      <c r="DU101" s="8">
        <f>+Tabla2[[#This Row],[GRAL]]-(Tabla2[[#This Row],[TEMM14]]+Tabla2[[#This Row],[PORTA15]])</f>
        <v>0.41306087536539893</v>
      </c>
    </row>
    <row r="102" spans="1:125" hidden="1" x14ac:dyDescent="0.2">
      <c r="A102" s="84" t="s">
        <v>457</v>
      </c>
      <c r="B102" s="84" t="s">
        <v>483</v>
      </c>
      <c r="C102" s="11" t="s">
        <v>453</v>
      </c>
      <c r="D102" s="11">
        <v>2093727</v>
      </c>
      <c r="E102" s="11" t="s">
        <v>442</v>
      </c>
      <c r="F102" s="11" t="s">
        <v>467</v>
      </c>
      <c r="G102" s="43" t="s">
        <v>280</v>
      </c>
      <c r="H102" s="10">
        <v>0.12059800083105997</v>
      </c>
      <c r="I102" s="10">
        <v>0.16789847649467127</v>
      </c>
      <c r="J102" s="10">
        <v>0.1562207193579257</v>
      </c>
      <c r="K102" s="10">
        <v>0.15006952754027642</v>
      </c>
      <c r="L102" s="10">
        <v>0.16374086192033718</v>
      </c>
      <c r="M102" s="10">
        <v>0.14743099948912008</v>
      </c>
      <c r="N102" s="10">
        <v>9.4041414366609274E-2</v>
      </c>
      <c r="O102" s="10">
        <v>0.13456875821488182</v>
      </c>
      <c r="P102" s="10">
        <v>0.15707930258261715</v>
      </c>
      <c r="Q102" s="10">
        <v>0.1366666184667969</v>
      </c>
      <c r="R102" s="10">
        <v>0.15251213813195408</v>
      </c>
      <c r="S102" s="10">
        <v>0.16144595225895933</v>
      </c>
      <c r="T102" s="10">
        <v>0.17017767644203829</v>
      </c>
      <c r="U102" s="10">
        <v>8.7549553902752458E-2</v>
      </c>
      <c r="V102" s="10">
        <v>0.13996353763244257</v>
      </c>
      <c r="W102" s="10">
        <v>0.16408049301484401</v>
      </c>
      <c r="X102" s="10">
        <v>0.14972686275640418</v>
      </c>
      <c r="Y102" s="10">
        <v>0.1463085242518728</v>
      </c>
      <c r="Z102" s="10">
        <v>0.15374768661164634</v>
      </c>
      <c r="AA102" s="10">
        <v>0.16100337430944414</v>
      </c>
      <c r="AB102" s="10">
        <v>8.5169521423346065E-2</v>
      </c>
      <c r="AC102" s="10">
        <v>0.14462106218700971</v>
      </c>
      <c r="AD102" s="10">
        <v>0.15927880292158872</v>
      </c>
      <c r="AE102" s="10">
        <v>0.15323481470929368</v>
      </c>
      <c r="AF102" s="10">
        <v>0.13729451948603222</v>
      </c>
      <c r="AG102" s="10">
        <v>0.15608969598895889</v>
      </c>
      <c r="AH102" s="10">
        <v>0.163037646001296</v>
      </c>
      <c r="AI102" s="10">
        <v>8.6443458705820736E-2</v>
      </c>
      <c r="AJ102" s="10">
        <v>0</v>
      </c>
      <c r="AK102" s="10">
        <v>0</v>
      </c>
      <c r="AL102" s="10">
        <v>0</v>
      </c>
      <c r="AM102" s="6">
        <v>1</v>
      </c>
      <c r="AN102" s="8">
        <v>1</v>
      </c>
      <c r="AO102" s="8">
        <v>1</v>
      </c>
      <c r="AP102" s="8">
        <v>1</v>
      </c>
      <c r="AQ102" s="8">
        <v>0</v>
      </c>
      <c r="AR102" s="8">
        <v>0</v>
      </c>
      <c r="AS102" s="64">
        <v>4</v>
      </c>
      <c r="AT102" s="8">
        <v>3.442173961378324</v>
      </c>
      <c r="AU102" s="8">
        <v>2.780111935632581</v>
      </c>
      <c r="AV102" s="8">
        <v>2.6146397240300367</v>
      </c>
      <c r="AW102" s="8">
        <v>2.5621064489288479</v>
      </c>
      <c r="AX102" s="8">
        <v>2.9284218045989356</v>
      </c>
      <c r="AY102" s="8">
        <v>4.5475770225051813</v>
      </c>
      <c r="AZ102" s="8">
        <v>6.1249691029260962</v>
      </c>
      <c r="BA102" s="8">
        <v>3.0666717115432927</v>
      </c>
      <c r="BB102" s="8">
        <v>2.5181653691518679</v>
      </c>
      <c r="BC102" s="8">
        <v>2.2942696455339164</v>
      </c>
      <c r="BD102" s="8">
        <v>2.2534393169566362</v>
      </c>
      <c r="BE102" s="8">
        <v>3.103397993024446</v>
      </c>
      <c r="BF102" s="8">
        <v>5.1386492614857744</v>
      </c>
      <c r="BG102" s="8">
        <v>6.6254067023040664</v>
      </c>
      <c r="BH102" s="8">
        <v>3.4264832279072293</v>
      </c>
      <c r="BI102" s="8">
        <v>2.6551168679580157</v>
      </c>
      <c r="BJ102" s="8">
        <v>2.3825495311693925</v>
      </c>
      <c r="BK102" s="8">
        <v>2.211815612441387</v>
      </c>
      <c r="BL102" s="8">
        <v>2.7064047392873785</v>
      </c>
      <c r="BM102" s="8">
        <v>4.9189264765254457</v>
      </c>
      <c r="BN102" s="8">
        <v>5.6987035447111527</v>
      </c>
      <c r="BO102" s="8">
        <v>2.8911244734672765</v>
      </c>
      <c r="BP102" s="8">
        <v>2.3275378895063681</v>
      </c>
      <c r="BQ102" s="8">
        <v>2.1600388273117614</v>
      </c>
      <c r="BR102" s="8">
        <v>2.0615394438528103</v>
      </c>
      <c r="BS102" s="8">
        <v>2.6944458084791916</v>
      </c>
      <c r="BT102" s="8">
        <v>5.0112324776739721</v>
      </c>
      <c r="BU102" s="8">
        <v>5.8540810797086156</v>
      </c>
      <c r="BV102" s="8">
        <v>4.3465385317427749</v>
      </c>
      <c r="BW102" s="8">
        <v>3.6534614682572242</v>
      </c>
      <c r="BX102" s="8">
        <v>0</v>
      </c>
      <c r="BY102" s="8">
        <v>25</v>
      </c>
      <c r="BZ102" s="8">
        <v>25</v>
      </c>
      <c r="CA102" s="8">
        <v>24</v>
      </c>
      <c r="CB102" s="8">
        <v>23</v>
      </c>
      <c r="CC102" s="8">
        <v>8</v>
      </c>
      <c r="CD102" s="8">
        <v>0</v>
      </c>
      <c r="CE102" s="8">
        <v>105</v>
      </c>
      <c r="CF102" s="9">
        <v>4.5265806713953145</v>
      </c>
      <c r="CG102" s="9">
        <v>3.7264417541043748</v>
      </c>
      <c r="CH102" s="9">
        <v>3.502959566116373</v>
      </c>
      <c r="CI102" s="9">
        <v>3.4295657821692016</v>
      </c>
      <c r="CJ102" s="9">
        <v>3.9121207718069746</v>
      </c>
      <c r="CK102" s="9">
        <v>5.9683295882957523</v>
      </c>
      <c r="CL102" s="9">
        <v>7.9340018661120126</v>
      </c>
      <c r="CM102" s="9">
        <v>4.0599085489902969</v>
      </c>
      <c r="CN102" s="9">
        <v>3.3803309750970083</v>
      </c>
      <c r="CO102" s="9">
        <v>3.0733317647502099</v>
      </c>
      <c r="CP102" s="9">
        <v>3.0369144638364487</v>
      </c>
      <c r="CQ102" s="9">
        <v>4.1337953833302503</v>
      </c>
      <c r="CR102" s="9">
        <v>6.7476487311438298</v>
      </c>
      <c r="CS102" s="9">
        <v>8.5680701328519575</v>
      </c>
      <c r="CT102" s="9">
        <v>4.4230675725164792</v>
      </c>
      <c r="CU102" s="9">
        <v>3.4829765779623636</v>
      </c>
      <c r="CV102" s="9">
        <v>3.1279137767181449</v>
      </c>
      <c r="CW102" s="9">
        <v>2.9110780398036065</v>
      </c>
      <c r="CX102" s="9">
        <v>3.5367536107208695</v>
      </c>
      <c r="CY102" s="9">
        <v>6.309661469966251</v>
      </c>
      <c r="CZ102" s="9">
        <v>7.2085489523122863</v>
      </c>
      <c r="DA102" s="9">
        <v>3.7899519200370539</v>
      </c>
      <c r="DB102" s="9">
        <v>3.0940004896904876</v>
      </c>
      <c r="DC102" s="9">
        <v>2.8767620317545584</v>
      </c>
      <c r="DD102" s="9">
        <v>2.7366268617352278</v>
      </c>
      <c r="DE102" s="9">
        <v>3.5534344110279399</v>
      </c>
      <c r="DF102" s="9">
        <v>6.4815481613293482</v>
      </c>
      <c r="DG102" s="9">
        <v>7.4676761244253793</v>
      </c>
      <c r="DH102" s="9">
        <v>4.9576265936961068</v>
      </c>
      <c r="DI102" s="9">
        <v>4.0423734063038932</v>
      </c>
      <c r="DJ102" s="9"/>
      <c r="DK102" s="9">
        <v>33</v>
      </c>
      <c r="DL102" s="9">
        <v>33</v>
      </c>
      <c r="DM102" s="9">
        <v>31</v>
      </c>
      <c r="DN102" s="9">
        <v>30</v>
      </c>
      <c r="DO102" s="9">
        <v>9</v>
      </c>
      <c r="DP102" s="9"/>
      <c r="DQ102" s="9">
        <v>136</v>
      </c>
      <c r="DR102" s="8">
        <f>+SUM(Tabla2[[#This Row],[1 gral]:[1 gral]])</f>
        <v>4.5265806713953145</v>
      </c>
      <c r="DS102" s="8">
        <f>+SUM(Tabla2[[#This Row],[1 temm]:[1 temm]])</f>
        <v>3.442173961378324</v>
      </c>
      <c r="DT102" s="8">
        <f>+SUM(Tabla2[[#This Row],[1 porta]:[1 porta]])</f>
        <v>0.12059800083105997</v>
      </c>
      <c r="DU102" s="8">
        <f>+Tabla2[[#This Row],[GRAL]]-(Tabla2[[#This Row],[TEMM14]]+Tabla2[[#This Row],[PORTA15]])</f>
        <v>0.96380870918593065</v>
      </c>
    </row>
    <row r="103" spans="1:125" x14ac:dyDescent="0.2">
      <c r="A103" s="84" t="s">
        <v>99</v>
      </c>
      <c r="B103" s="84" t="s">
        <v>482</v>
      </c>
      <c r="C103" s="11" t="s">
        <v>125</v>
      </c>
      <c r="D103" s="11">
        <v>2093747</v>
      </c>
      <c r="E103" s="11" t="s">
        <v>120</v>
      </c>
      <c r="F103" s="11" t="s">
        <v>308</v>
      </c>
      <c r="G103" s="43" t="s">
        <v>282</v>
      </c>
      <c r="H103" s="10">
        <v>0.12059800083105997</v>
      </c>
      <c r="I103" s="10">
        <v>0.16789847649467127</v>
      </c>
      <c r="J103" s="10">
        <v>0.1562207193579257</v>
      </c>
      <c r="K103" s="10">
        <v>0.15006952754027642</v>
      </c>
      <c r="L103" s="10">
        <v>0.16374086192033718</v>
      </c>
      <c r="M103" s="10">
        <v>0.14743099948912008</v>
      </c>
      <c r="N103" s="10">
        <v>9.4041414366609274E-2</v>
      </c>
      <c r="O103" s="10">
        <v>0.13456875821488182</v>
      </c>
      <c r="P103" s="10">
        <v>0.15707930258261715</v>
      </c>
      <c r="Q103" s="10">
        <v>0.1366666184667969</v>
      </c>
      <c r="R103" s="10">
        <v>0.15251213813195408</v>
      </c>
      <c r="S103" s="10">
        <v>0.16144595225895933</v>
      </c>
      <c r="T103" s="10">
        <v>0.17017767644203829</v>
      </c>
      <c r="U103" s="10">
        <v>8.7549553902752458E-2</v>
      </c>
      <c r="V103" s="10">
        <v>0.13996353763244257</v>
      </c>
      <c r="W103" s="10">
        <v>0.16408049301484401</v>
      </c>
      <c r="X103" s="10">
        <v>0.14972686275640418</v>
      </c>
      <c r="Y103" s="10">
        <v>0.1463085242518728</v>
      </c>
      <c r="Z103" s="10">
        <v>0.15374768661164634</v>
      </c>
      <c r="AA103" s="10">
        <v>0.16100337430944414</v>
      </c>
      <c r="AB103" s="10">
        <v>8.5169521423346065E-2</v>
      </c>
      <c r="AC103" s="10">
        <v>0.14462106218700971</v>
      </c>
      <c r="AD103" s="10">
        <v>0.15927880292158872</v>
      </c>
      <c r="AE103" s="10">
        <v>0.15323481470929368</v>
      </c>
      <c r="AF103" s="10">
        <v>0.13729451948603222</v>
      </c>
      <c r="AG103" s="10">
        <v>0.15608969598895889</v>
      </c>
      <c r="AH103" s="10">
        <v>0.163037646001296</v>
      </c>
      <c r="AI103" s="10">
        <v>8.6443458705820736E-2</v>
      </c>
      <c r="AJ103" s="10">
        <v>0.49060673664580357</v>
      </c>
      <c r="AK103" s="10">
        <v>0.50939326335419632</v>
      </c>
      <c r="AL103" s="10">
        <v>0</v>
      </c>
      <c r="AM103" s="6">
        <v>1</v>
      </c>
      <c r="AN103" s="8">
        <v>1</v>
      </c>
      <c r="AO103" s="8">
        <v>1</v>
      </c>
      <c r="AP103" s="8">
        <v>1</v>
      </c>
      <c r="AQ103" s="8">
        <v>1</v>
      </c>
      <c r="AR103" s="8">
        <v>0</v>
      </c>
      <c r="AS103" s="87">
        <v>5</v>
      </c>
      <c r="AT103" s="8">
        <v>0.41306087536539887</v>
      </c>
      <c r="AU103" s="8">
        <v>0.33361343227590967</v>
      </c>
      <c r="AV103" s="8">
        <v>0.31375676688360443</v>
      </c>
      <c r="AW103" s="8">
        <v>0.30745277387146175</v>
      </c>
      <c r="AX103" s="8">
        <v>0.35141061655187228</v>
      </c>
      <c r="AY103" s="8">
        <v>0.54570924270062171</v>
      </c>
      <c r="AZ103" s="8">
        <v>0.73499629235113151</v>
      </c>
      <c r="BA103" s="8">
        <v>0.36800060538519513</v>
      </c>
      <c r="BB103" s="8">
        <v>0.30217984429822414</v>
      </c>
      <c r="BC103" s="8">
        <v>0.27531235746406996</v>
      </c>
      <c r="BD103" s="8">
        <v>0.27041271803479633</v>
      </c>
      <c r="BE103" s="8">
        <v>0.37240775916293356</v>
      </c>
      <c r="BF103" s="8">
        <v>0.61663791137829294</v>
      </c>
      <c r="BG103" s="8">
        <v>0.79504880427648805</v>
      </c>
      <c r="BH103" s="8">
        <v>0.42831040348840366</v>
      </c>
      <c r="BI103" s="8">
        <v>0.33188960849475196</v>
      </c>
      <c r="BJ103" s="8">
        <v>0.29781869139617406</v>
      </c>
      <c r="BK103" s="8">
        <v>0.27647695155517338</v>
      </c>
      <c r="BL103" s="8">
        <v>0.33830059241092231</v>
      </c>
      <c r="BM103" s="8">
        <v>0.61486580956568071</v>
      </c>
      <c r="BN103" s="8">
        <v>0.71233794308889409</v>
      </c>
      <c r="BO103" s="8">
        <v>0.37710319219138388</v>
      </c>
      <c r="BP103" s="8">
        <v>0.30359189863126546</v>
      </c>
      <c r="BQ103" s="8">
        <v>0.28174419486675151</v>
      </c>
      <c r="BR103" s="8">
        <v>0.26889644919819267</v>
      </c>
      <c r="BS103" s="8">
        <v>0.35144945327989457</v>
      </c>
      <c r="BT103" s="8">
        <v>0.65363901882703979</v>
      </c>
      <c r="BU103" s="8">
        <v>0.76357579300547163</v>
      </c>
      <c r="BV103" s="8">
        <v>1.1016947985991348</v>
      </c>
      <c r="BW103" s="8">
        <v>0.89830520140086512</v>
      </c>
      <c r="BX103" s="8">
        <v>0</v>
      </c>
      <c r="BY103" s="8">
        <v>3</v>
      </c>
      <c r="BZ103" s="8">
        <v>3</v>
      </c>
      <c r="CA103" s="8">
        <v>3</v>
      </c>
      <c r="CB103" s="8">
        <v>3</v>
      </c>
      <c r="CC103" s="8">
        <v>2</v>
      </c>
      <c r="CD103" s="8">
        <v>0</v>
      </c>
      <c r="CE103" s="8">
        <v>14</v>
      </c>
      <c r="CF103" s="9">
        <v>1.0844067100169905</v>
      </c>
      <c r="CG103" s="9">
        <v>0.94632981847179387</v>
      </c>
      <c r="CH103" s="9">
        <v>0.88831984208633608</v>
      </c>
      <c r="CI103" s="9">
        <v>0.86745933324035374</v>
      </c>
      <c r="CJ103" s="9">
        <v>0.98369896720803918</v>
      </c>
      <c r="CK103" s="9">
        <v>1.4207525657905706</v>
      </c>
      <c r="CL103" s="9">
        <v>1.8090327631859162</v>
      </c>
      <c r="CM103" s="9">
        <v>0.99323683744700375</v>
      </c>
      <c r="CN103" s="9">
        <v>0.86216560594514013</v>
      </c>
      <c r="CO103" s="9">
        <v>0.77906211921629342</v>
      </c>
      <c r="CP103" s="9">
        <v>0.78347514687981223</v>
      </c>
      <c r="CQ103" s="9">
        <v>1.0303973903058044</v>
      </c>
      <c r="CR103" s="9">
        <v>1.6089994696580552</v>
      </c>
      <c r="CS103" s="9">
        <v>1.9426634305478911</v>
      </c>
      <c r="CT103" s="9">
        <v>1.1393544791053842</v>
      </c>
      <c r="CU103" s="9">
        <v>0.93848957950259859</v>
      </c>
      <c r="CV103" s="9">
        <v>0.84463714268081036</v>
      </c>
      <c r="CW103" s="9">
        <v>0.79142141121394394</v>
      </c>
      <c r="CX103" s="9">
        <v>0.94311573557046513</v>
      </c>
      <c r="CY103" s="9">
        <v>1.5956902632960324</v>
      </c>
      <c r="CZ103" s="9">
        <v>1.7472913886307655</v>
      </c>
      <c r="DA103" s="9">
        <v>1.024528510633572</v>
      </c>
      <c r="DB103" s="9">
        <v>0.86765989972787472</v>
      </c>
      <c r="DC103" s="9">
        <v>0.81063793606504719</v>
      </c>
      <c r="DD103" s="9">
        <v>0.76471956761514837</v>
      </c>
      <c r="DE103" s="9">
        <v>0.9761384203087129</v>
      </c>
      <c r="DF103" s="9">
        <v>1.6881953565977224</v>
      </c>
      <c r="DG103" s="9">
        <v>1.8681203090519212</v>
      </c>
      <c r="DH103" s="9">
        <v>2.1431489345445058</v>
      </c>
      <c r="DI103" s="9">
        <v>1.8568510654554939</v>
      </c>
      <c r="DJ103" s="9"/>
      <c r="DK103" s="9">
        <v>8</v>
      </c>
      <c r="DL103" s="9">
        <v>8</v>
      </c>
      <c r="DM103" s="9">
        <v>8</v>
      </c>
      <c r="DN103" s="9">
        <v>8</v>
      </c>
      <c r="DO103" s="9">
        <v>4</v>
      </c>
      <c r="DP103" s="9"/>
      <c r="DQ103" s="9">
        <v>36</v>
      </c>
      <c r="DR103" s="8">
        <f>+SUM(Tabla2[[#This Row],[1 gral]:[1 gral]])</f>
        <v>1.0844067100169905</v>
      </c>
      <c r="DS103" s="8">
        <f>+SUM(Tabla2[[#This Row],[1 temm]:[1 temm]])</f>
        <v>0.41306087536539887</v>
      </c>
      <c r="DT103" s="8">
        <f>+SUM(Tabla2[[#This Row],[1 porta]:[1 porta]])</f>
        <v>0.12059800083105997</v>
      </c>
      <c r="DU103" s="8">
        <f>+Tabla2[[#This Row],[GRAL]]-(Tabla2[[#This Row],[TEMM14]]+Tabla2[[#This Row],[PORTA15]])</f>
        <v>0.55074783382053172</v>
      </c>
    </row>
    <row r="104" spans="1:125" hidden="1" x14ac:dyDescent="0.2">
      <c r="A104" s="84" t="s">
        <v>455</v>
      </c>
      <c r="B104" s="84" t="s">
        <v>483</v>
      </c>
      <c r="C104" s="11" t="s">
        <v>452</v>
      </c>
      <c r="D104" s="11">
        <v>2093749</v>
      </c>
      <c r="E104" s="11" t="s">
        <v>443</v>
      </c>
      <c r="F104" s="11" t="s">
        <v>479</v>
      </c>
      <c r="G104" s="43" t="s">
        <v>281</v>
      </c>
      <c r="H104" s="10">
        <v>0.12059800083105997</v>
      </c>
      <c r="I104" s="10">
        <v>0.16789847649467127</v>
      </c>
      <c r="J104" s="10">
        <v>0.1562207193579257</v>
      </c>
      <c r="K104" s="10">
        <v>0.15006952754027642</v>
      </c>
      <c r="L104" s="10">
        <v>0.16374086192033718</v>
      </c>
      <c r="M104" s="10">
        <v>0.14743099948912008</v>
      </c>
      <c r="N104" s="10">
        <v>9.4041414366609274E-2</v>
      </c>
      <c r="O104" s="10">
        <v>0.13456875821488182</v>
      </c>
      <c r="P104" s="10">
        <v>0.15707930258261715</v>
      </c>
      <c r="Q104" s="10">
        <v>0.1366666184667969</v>
      </c>
      <c r="R104" s="10">
        <v>0.15251213813195408</v>
      </c>
      <c r="S104" s="10">
        <v>0.16144595225895933</v>
      </c>
      <c r="T104" s="10">
        <v>0.17017767644203829</v>
      </c>
      <c r="U104" s="10">
        <v>8.7549553902752458E-2</v>
      </c>
      <c r="V104" s="10">
        <v>0.13996353763244257</v>
      </c>
      <c r="W104" s="10">
        <v>0.16408049301484401</v>
      </c>
      <c r="X104" s="10">
        <v>0.14972686275640418</v>
      </c>
      <c r="Y104" s="10">
        <v>0.1463085242518728</v>
      </c>
      <c r="Z104" s="10">
        <v>0.15374768661164634</v>
      </c>
      <c r="AA104" s="10">
        <v>0.16100337430944414</v>
      </c>
      <c r="AB104" s="10">
        <v>8.5169521423346065E-2</v>
      </c>
      <c r="AC104" s="10">
        <v>0.14462106218700971</v>
      </c>
      <c r="AD104" s="10">
        <v>0.15927880292158872</v>
      </c>
      <c r="AE104" s="10">
        <v>0.15323481470929368</v>
      </c>
      <c r="AF104" s="10">
        <v>0.13729451948603222</v>
      </c>
      <c r="AG104" s="10">
        <v>0.15608969598895889</v>
      </c>
      <c r="AH104" s="10">
        <v>0.163037646001296</v>
      </c>
      <c r="AI104" s="10">
        <v>8.6443458705820736E-2</v>
      </c>
      <c r="AJ104" s="10">
        <v>0</v>
      </c>
      <c r="AK104" s="10">
        <v>0</v>
      </c>
      <c r="AL104" s="10">
        <v>0</v>
      </c>
      <c r="AM104" s="6">
        <v>1</v>
      </c>
      <c r="AN104" s="8">
        <v>1</v>
      </c>
      <c r="AO104" s="8">
        <v>1</v>
      </c>
      <c r="AP104" s="8">
        <v>1</v>
      </c>
      <c r="AQ104" s="8">
        <v>0</v>
      </c>
      <c r="AR104" s="8">
        <v>0</v>
      </c>
      <c r="AS104" s="64">
        <v>4</v>
      </c>
      <c r="AT104" s="8">
        <v>0.68843479227566484</v>
      </c>
      <c r="AU104" s="8">
        <v>0.55602238712651619</v>
      </c>
      <c r="AV104" s="8">
        <v>0.52292794480600735</v>
      </c>
      <c r="AW104" s="8">
        <v>0.51242128978576951</v>
      </c>
      <c r="AX104" s="8">
        <v>0.58568436091978715</v>
      </c>
      <c r="AY104" s="8">
        <v>0.90951540450103618</v>
      </c>
      <c r="AZ104" s="8">
        <v>1.2249938205852193</v>
      </c>
      <c r="BA104" s="8">
        <v>0.61333434230865858</v>
      </c>
      <c r="BB104" s="8">
        <v>0.50363307383037359</v>
      </c>
      <c r="BC104" s="8">
        <v>0.4588539291067833</v>
      </c>
      <c r="BD104" s="8">
        <v>0.45068786339132721</v>
      </c>
      <c r="BE104" s="8">
        <v>0.62067959860488919</v>
      </c>
      <c r="BF104" s="8">
        <v>1.027729852297155</v>
      </c>
      <c r="BG104" s="8">
        <v>1.3250813404608133</v>
      </c>
      <c r="BH104" s="8">
        <v>0.71385067248067269</v>
      </c>
      <c r="BI104" s="8">
        <v>0.55314934749125322</v>
      </c>
      <c r="BJ104" s="8">
        <v>0.49636448566029007</v>
      </c>
      <c r="BK104" s="8">
        <v>0.46079491925862226</v>
      </c>
      <c r="BL104" s="8">
        <v>0.56383432068487049</v>
      </c>
      <c r="BM104" s="8">
        <v>1.0247763492761346</v>
      </c>
      <c r="BN104" s="8">
        <v>1.1872299051481567</v>
      </c>
      <c r="BO104" s="8">
        <v>0.62850532031897322</v>
      </c>
      <c r="BP104" s="8">
        <v>0.50598649771877569</v>
      </c>
      <c r="BQ104" s="8">
        <v>0.46957365811125251</v>
      </c>
      <c r="BR104" s="8">
        <v>0.44816074866365441</v>
      </c>
      <c r="BS104" s="8">
        <v>0.58574908879982424</v>
      </c>
      <c r="BT104" s="8">
        <v>1.0893983647117331</v>
      </c>
      <c r="BU104" s="8">
        <v>1.272626321675786</v>
      </c>
      <c r="BV104" s="8">
        <v>0</v>
      </c>
      <c r="BW104" s="8">
        <v>0</v>
      </c>
      <c r="BX104" s="8">
        <v>0</v>
      </c>
      <c r="BY104" s="8">
        <v>5</v>
      </c>
      <c r="BZ104" s="8">
        <v>5</v>
      </c>
      <c r="CA104" s="8">
        <v>5</v>
      </c>
      <c r="CB104" s="8">
        <v>5</v>
      </c>
      <c r="CC104" s="8">
        <v>0</v>
      </c>
      <c r="CD104" s="8">
        <v>0</v>
      </c>
      <c r="CE104" s="8">
        <v>20</v>
      </c>
      <c r="CF104" s="9">
        <v>1.3597806269272565</v>
      </c>
      <c r="CG104" s="9">
        <v>1.1687387733224004</v>
      </c>
      <c r="CH104" s="9">
        <v>1.0974910200087389</v>
      </c>
      <c r="CI104" s="9">
        <v>1.0724278491546615</v>
      </c>
      <c r="CJ104" s="9">
        <v>1.217972711575954</v>
      </c>
      <c r="CK104" s="9">
        <v>1.7845587275909853</v>
      </c>
      <c r="CL104" s="9">
        <v>2.2990302914200038</v>
      </c>
      <c r="CM104" s="9">
        <v>1.2385705743704671</v>
      </c>
      <c r="CN104" s="9">
        <v>1.0636188354772895</v>
      </c>
      <c r="CO104" s="9">
        <v>0.96260369085900677</v>
      </c>
      <c r="CP104" s="9">
        <v>0.96375029223634301</v>
      </c>
      <c r="CQ104" s="9">
        <v>1.2786692297477598</v>
      </c>
      <c r="CR104" s="9">
        <v>2.0200914105769172</v>
      </c>
      <c r="CS104" s="9">
        <v>2.4726959667322164</v>
      </c>
      <c r="CT104" s="9">
        <v>1.4248947480976533</v>
      </c>
      <c r="CU104" s="9">
        <v>1.1597493184990999</v>
      </c>
      <c r="CV104" s="9">
        <v>1.0431829369449264</v>
      </c>
      <c r="CW104" s="9">
        <v>0.97573937891739293</v>
      </c>
      <c r="CX104" s="9">
        <v>1.1686494638444134</v>
      </c>
      <c r="CY104" s="9">
        <v>2.0056008030064865</v>
      </c>
      <c r="CZ104" s="9">
        <v>2.2221833506900284</v>
      </c>
      <c r="DA104" s="9">
        <v>1.2759306387611615</v>
      </c>
      <c r="DB104" s="9">
        <v>1.0700544988153848</v>
      </c>
      <c r="DC104" s="9">
        <v>0.9984673993095482</v>
      </c>
      <c r="DD104" s="9">
        <v>0.94398386708061022</v>
      </c>
      <c r="DE104" s="9">
        <v>1.2104380558286425</v>
      </c>
      <c r="DF104" s="9">
        <v>2.1239547024824157</v>
      </c>
      <c r="DG104" s="9">
        <v>2.3771708377222356</v>
      </c>
      <c r="DH104" s="9">
        <v>0</v>
      </c>
      <c r="DI104" s="9">
        <v>0</v>
      </c>
      <c r="DJ104" s="9"/>
      <c r="DK104" s="9">
        <v>10</v>
      </c>
      <c r="DL104" s="9">
        <v>10</v>
      </c>
      <c r="DM104" s="9">
        <v>10</v>
      </c>
      <c r="DN104" s="9">
        <v>10</v>
      </c>
      <c r="DO104" s="9">
        <v>0</v>
      </c>
      <c r="DP104" s="9"/>
      <c r="DQ104" s="9">
        <v>40</v>
      </c>
      <c r="DR104" s="8">
        <f>+SUM(Tabla2[[#This Row],[1 gral]:[1 gral]])</f>
        <v>1.3597806269272565</v>
      </c>
      <c r="DS104" s="8">
        <f>+SUM(Tabla2[[#This Row],[1 temm]:[1 temm]])</f>
        <v>0.68843479227566484</v>
      </c>
      <c r="DT104" s="8">
        <f>+SUM(Tabla2[[#This Row],[1 porta]:[1 porta]])</f>
        <v>0.12059800083105997</v>
      </c>
      <c r="DU104" s="8">
        <f>+Tabla2[[#This Row],[GRAL]]-(Tabla2[[#This Row],[TEMM14]]+Tabla2[[#This Row],[PORTA15]])</f>
        <v>0.55074783382053172</v>
      </c>
    </row>
    <row r="105" spans="1:125" hidden="1" x14ac:dyDescent="0.2">
      <c r="A105" s="84" t="s">
        <v>455</v>
      </c>
      <c r="B105" s="84" t="s">
        <v>483</v>
      </c>
      <c r="C105" s="11" t="s">
        <v>452</v>
      </c>
      <c r="D105" s="11">
        <v>2093808</v>
      </c>
      <c r="E105" s="11" t="s">
        <v>444</v>
      </c>
      <c r="F105" s="11" t="s">
        <v>480</v>
      </c>
      <c r="G105" s="43" t="s">
        <v>280</v>
      </c>
      <c r="H105" s="10">
        <v>0.12059800083105997</v>
      </c>
      <c r="I105" s="10">
        <v>0.16789847649467127</v>
      </c>
      <c r="J105" s="10">
        <v>0.1562207193579257</v>
      </c>
      <c r="K105" s="10">
        <v>0.15006952754027642</v>
      </c>
      <c r="L105" s="10">
        <v>0.16374086192033718</v>
      </c>
      <c r="M105" s="10">
        <v>0.14743099948912008</v>
      </c>
      <c r="N105" s="10">
        <v>9.4041414366609274E-2</v>
      </c>
      <c r="O105" s="10">
        <v>0.13456875821488182</v>
      </c>
      <c r="P105" s="10">
        <v>0.15707930258261715</v>
      </c>
      <c r="Q105" s="10">
        <v>0.1366666184667969</v>
      </c>
      <c r="R105" s="10">
        <v>0.15251213813195408</v>
      </c>
      <c r="S105" s="10">
        <v>0.16144595225895933</v>
      </c>
      <c r="T105" s="10">
        <v>0.17017767644203829</v>
      </c>
      <c r="U105" s="10">
        <v>8.7549553902752458E-2</v>
      </c>
      <c r="V105" s="10">
        <v>0.13996353763244257</v>
      </c>
      <c r="W105" s="10">
        <v>0.16408049301484401</v>
      </c>
      <c r="X105" s="10">
        <v>0.14972686275640418</v>
      </c>
      <c r="Y105" s="10">
        <v>0.1463085242518728</v>
      </c>
      <c r="Z105" s="10">
        <v>0.15374768661164634</v>
      </c>
      <c r="AA105" s="10">
        <v>0.16100337430944414</v>
      </c>
      <c r="AB105" s="10">
        <v>8.5169521423346065E-2</v>
      </c>
      <c r="AC105" s="10">
        <v>0.14462106218700971</v>
      </c>
      <c r="AD105" s="10">
        <v>0.15927880292158872</v>
      </c>
      <c r="AE105" s="10">
        <v>0.15323481470929368</v>
      </c>
      <c r="AF105" s="10">
        <v>0.13729451948603222</v>
      </c>
      <c r="AG105" s="10">
        <v>0.15608969598895889</v>
      </c>
      <c r="AH105" s="10">
        <v>0.163037646001296</v>
      </c>
      <c r="AI105" s="10">
        <v>8.6443458705820736E-2</v>
      </c>
      <c r="AJ105" s="10">
        <v>0.49060673664580357</v>
      </c>
      <c r="AK105" s="10">
        <v>0.50939326335419632</v>
      </c>
      <c r="AL105" s="10">
        <v>0</v>
      </c>
      <c r="AM105" s="6">
        <v>1</v>
      </c>
      <c r="AN105" s="8">
        <v>1</v>
      </c>
      <c r="AO105" s="8">
        <v>1</v>
      </c>
      <c r="AP105" s="8">
        <v>1</v>
      </c>
      <c r="AQ105" s="8">
        <v>1</v>
      </c>
      <c r="AR105" s="8">
        <v>0</v>
      </c>
      <c r="AS105" s="64">
        <v>5</v>
      </c>
      <c r="AT105" s="8">
        <v>0.55074783382053183</v>
      </c>
      <c r="AU105" s="8">
        <v>0.44481790970121293</v>
      </c>
      <c r="AV105" s="8">
        <v>0.41834235584480589</v>
      </c>
      <c r="AW105" s="8">
        <v>0.40993703182861563</v>
      </c>
      <c r="AX105" s="8">
        <v>0.46854748873582969</v>
      </c>
      <c r="AY105" s="8">
        <v>0.72761232360082895</v>
      </c>
      <c r="AZ105" s="8">
        <v>0.97999505646817542</v>
      </c>
      <c r="BA105" s="8">
        <v>0.49066747384692683</v>
      </c>
      <c r="BB105" s="8">
        <v>0.40290645906429884</v>
      </c>
      <c r="BC105" s="8">
        <v>0.36708314328542663</v>
      </c>
      <c r="BD105" s="8">
        <v>0.36055029071306177</v>
      </c>
      <c r="BE105" s="8">
        <v>0.49654367888391138</v>
      </c>
      <c r="BF105" s="8">
        <v>0.82218388183772395</v>
      </c>
      <c r="BG105" s="8">
        <v>1.0600650723686507</v>
      </c>
      <c r="BH105" s="8">
        <v>0.57108053798453817</v>
      </c>
      <c r="BI105" s="8">
        <v>0.44251947799300262</v>
      </c>
      <c r="BJ105" s="8">
        <v>0.39709158852823206</v>
      </c>
      <c r="BK105" s="8">
        <v>0.36863593540689782</v>
      </c>
      <c r="BL105" s="8">
        <v>0.45106745654789643</v>
      </c>
      <c r="BM105" s="8">
        <v>0.81982107942090765</v>
      </c>
      <c r="BN105" s="8">
        <v>0.94978392411852541</v>
      </c>
      <c r="BO105" s="8">
        <v>0.50280425625517855</v>
      </c>
      <c r="BP105" s="8">
        <v>0.40478919817502057</v>
      </c>
      <c r="BQ105" s="8">
        <v>0.37565892648900201</v>
      </c>
      <c r="BR105" s="8">
        <v>0.35852859893092354</v>
      </c>
      <c r="BS105" s="8">
        <v>0.46859927103985943</v>
      </c>
      <c r="BT105" s="8">
        <v>0.87151869176938646</v>
      </c>
      <c r="BU105" s="8">
        <v>1.0181010573406288</v>
      </c>
      <c r="BV105" s="8">
        <v>1.1016947985991348</v>
      </c>
      <c r="BW105" s="8">
        <v>0.89830520140086512</v>
      </c>
      <c r="BX105" s="8">
        <v>0</v>
      </c>
      <c r="BY105" s="8">
        <v>4</v>
      </c>
      <c r="BZ105" s="8">
        <v>4</v>
      </c>
      <c r="CA105" s="8">
        <v>4</v>
      </c>
      <c r="CB105" s="8">
        <v>4</v>
      </c>
      <c r="CC105" s="8">
        <v>2</v>
      </c>
      <c r="CD105" s="8">
        <v>0</v>
      </c>
      <c r="CE105" s="8">
        <v>18</v>
      </c>
      <c r="CF105" s="9">
        <v>1.6351545438375226</v>
      </c>
      <c r="CG105" s="9">
        <v>1.3911477281730069</v>
      </c>
      <c r="CH105" s="9">
        <v>1.3066621979311419</v>
      </c>
      <c r="CI105" s="9">
        <v>1.2773963650689695</v>
      </c>
      <c r="CJ105" s="9">
        <v>1.4522464559438688</v>
      </c>
      <c r="CK105" s="9">
        <v>2.1483648893913996</v>
      </c>
      <c r="CL105" s="9">
        <v>2.7890278196540916</v>
      </c>
      <c r="CM105" s="9">
        <v>1.4839043112939305</v>
      </c>
      <c r="CN105" s="9">
        <v>1.2650720650094389</v>
      </c>
      <c r="CO105" s="9">
        <v>1.1461452625017201</v>
      </c>
      <c r="CP105" s="9">
        <v>1.144025437592874</v>
      </c>
      <c r="CQ105" s="9">
        <v>1.5269410691897156</v>
      </c>
      <c r="CR105" s="9">
        <v>2.431183351495779</v>
      </c>
      <c r="CS105" s="9">
        <v>3.0027285029165416</v>
      </c>
      <c r="CT105" s="9">
        <v>1.567664882593788</v>
      </c>
      <c r="CU105" s="9">
        <v>1.2703791879973507</v>
      </c>
      <c r="CV105" s="9">
        <v>1.1424558340769844</v>
      </c>
      <c r="CW105" s="9">
        <v>1.0678983627691174</v>
      </c>
      <c r="CX105" s="9">
        <v>1.2814163279813875</v>
      </c>
      <c r="CY105" s="9">
        <v>2.2105560728617131</v>
      </c>
      <c r="CZ105" s="9">
        <v>2.4596293317196594</v>
      </c>
      <c r="DA105" s="9">
        <v>1.4016317028249561</v>
      </c>
      <c r="DB105" s="9">
        <v>1.1712517983591402</v>
      </c>
      <c r="DC105" s="9">
        <v>1.0923821309317987</v>
      </c>
      <c r="DD105" s="9">
        <v>1.033616016813341</v>
      </c>
      <c r="DE105" s="9">
        <v>1.3275878735886075</v>
      </c>
      <c r="DF105" s="9">
        <v>2.3418343754247619</v>
      </c>
      <c r="DG105" s="9">
        <v>2.6316961020573926</v>
      </c>
      <c r="DH105" s="9">
        <v>2.6939963338440731</v>
      </c>
      <c r="DI105" s="9">
        <v>2.3060036661559264</v>
      </c>
      <c r="DJ105" s="9"/>
      <c r="DK105" s="9">
        <v>12</v>
      </c>
      <c r="DL105" s="9">
        <v>12</v>
      </c>
      <c r="DM105" s="9">
        <v>11</v>
      </c>
      <c r="DN105" s="9">
        <v>11</v>
      </c>
      <c r="DO105" s="9">
        <v>5</v>
      </c>
      <c r="DP105" s="9"/>
      <c r="DQ105" s="9">
        <v>51</v>
      </c>
      <c r="DR105" s="8">
        <f>+SUM(Tabla2[[#This Row],[1 gral]:[1 gral]])</f>
        <v>1.6351545438375226</v>
      </c>
      <c r="DS105" s="8">
        <f>+SUM(Tabla2[[#This Row],[1 temm]:[1 temm]])</f>
        <v>0.55074783382053183</v>
      </c>
      <c r="DT105" s="8">
        <f>+SUM(Tabla2[[#This Row],[1 porta]:[1 porta]])</f>
        <v>0.12059800083105997</v>
      </c>
      <c r="DU105" s="8">
        <f>+Tabla2[[#This Row],[GRAL]]-(Tabla2[[#This Row],[TEMM14]]+Tabla2[[#This Row],[PORTA15]])</f>
        <v>0.96380870918593076</v>
      </c>
    </row>
    <row r="106" spans="1:125" x14ac:dyDescent="0.2">
      <c r="A106" s="84" t="s">
        <v>99</v>
      </c>
      <c r="B106" s="84" t="s">
        <v>482</v>
      </c>
      <c r="C106" s="11" t="s">
        <v>127</v>
      </c>
      <c r="D106" s="11">
        <v>2093815</v>
      </c>
      <c r="E106" s="11" t="s">
        <v>103</v>
      </c>
      <c r="F106" s="11" t="s">
        <v>309</v>
      </c>
      <c r="G106" s="43" t="s">
        <v>281</v>
      </c>
      <c r="H106" s="10">
        <v>0.12059800083105997</v>
      </c>
      <c r="I106" s="10">
        <v>0.16789847649467127</v>
      </c>
      <c r="J106" s="10">
        <v>0.1562207193579257</v>
      </c>
      <c r="K106" s="10">
        <v>0.15006952754027642</v>
      </c>
      <c r="L106" s="10">
        <v>0.16374086192033718</v>
      </c>
      <c r="M106" s="10">
        <v>0.14743099948912008</v>
      </c>
      <c r="N106" s="10">
        <v>9.4041414366609274E-2</v>
      </c>
      <c r="O106" s="10">
        <v>0.13456875821488182</v>
      </c>
      <c r="P106" s="10">
        <v>0.15707930258261715</v>
      </c>
      <c r="Q106" s="10">
        <v>0.1366666184667969</v>
      </c>
      <c r="R106" s="10">
        <v>0.15251213813195408</v>
      </c>
      <c r="S106" s="10">
        <v>0.16144595225895933</v>
      </c>
      <c r="T106" s="10">
        <v>0.17017767644203829</v>
      </c>
      <c r="U106" s="10">
        <v>8.7549553902752458E-2</v>
      </c>
      <c r="V106" s="10">
        <v>0.13996353763244257</v>
      </c>
      <c r="W106" s="10">
        <v>0.16408049301484401</v>
      </c>
      <c r="X106" s="10">
        <v>0.14972686275640418</v>
      </c>
      <c r="Y106" s="10">
        <v>0.1463085242518728</v>
      </c>
      <c r="Z106" s="10">
        <v>0.15374768661164634</v>
      </c>
      <c r="AA106" s="10">
        <v>0.16100337430944414</v>
      </c>
      <c r="AB106" s="10">
        <v>8.5169521423346065E-2</v>
      </c>
      <c r="AC106" s="10">
        <v>0.14462106218700971</v>
      </c>
      <c r="AD106" s="10">
        <v>0.15927880292158872</v>
      </c>
      <c r="AE106" s="10">
        <v>0.15323481470929368</v>
      </c>
      <c r="AF106" s="10">
        <v>0.13729451948603222</v>
      </c>
      <c r="AG106" s="10">
        <v>0.15608969598895889</v>
      </c>
      <c r="AH106" s="10">
        <v>0.163037646001296</v>
      </c>
      <c r="AI106" s="10">
        <v>8.6443458705820736E-2</v>
      </c>
      <c r="AJ106" s="10">
        <v>0.49060673664580357</v>
      </c>
      <c r="AK106" s="10">
        <v>0.50939326335419632</v>
      </c>
      <c r="AL106" s="10">
        <v>0</v>
      </c>
      <c r="AM106" s="6">
        <v>1</v>
      </c>
      <c r="AN106" s="8">
        <v>1</v>
      </c>
      <c r="AO106" s="8">
        <v>1</v>
      </c>
      <c r="AP106" s="8">
        <v>1</v>
      </c>
      <c r="AQ106" s="8">
        <v>1</v>
      </c>
      <c r="AR106" s="8">
        <v>0</v>
      </c>
      <c r="AS106" s="87">
        <v>5</v>
      </c>
      <c r="AT106" s="8">
        <v>0.96380870918593065</v>
      </c>
      <c r="AU106" s="8">
        <v>0.7784313419771226</v>
      </c>
      <c r="AV106" s="8">
        <v>0.73209912272841027</v>
      </c>
      <c r="AW106" s="8">
        <v>0.71738980570007738</v>
      </c>
      <c r="AX106" s="8">
        <v>0.81995810528770197</v>
      </c>
      <c r="AY106" s="8">
        <v>1.2733215663014508</v>
      </c>
      <c r="AZ106" s="8">
        <v>1.7149913488193069</v>
      </c>
      <c r="BA106" s="8">
        <v>0.85866807923212196</v>
      </c>
      <c r="BB106" s="8">
        <v>0.70508630336252298</v>
      </c>
      <c r="BC106" s="8">
        <v>0.64239550074949658</v>
      </c>
      <c r="BD106" s="8">
        <v>0.63096300874785816</v>
      </c>
      <c r="BE106" s="8">
        <v>0.86895143804684494</v>
      </c>
      <c r="BF106" s="8">
        <v>1.438821793216017</v>
      </c>
      <c r="BG106" s="8">
        <v>1.8551138766451387</v>
      </c>
      <c r="BH106" s="8">
        <v>0.85662080697680731</v>
      </c>
      <c r="BI106" s="8">
        <v>0.66377921698950393</v>
      </c>
      <c r="BJ106" s="8">
        <v>0.59563738279234812</v>
      </c>
      <c r="BK106" s="8">
        <v>0.55295390311034676</v>
      </c>
      <c r="BL106" s="8">
        <v>0.67660118482184461</v>
      </c>
      <c r="BM106" s="8">
        <v>1.2297316191313614</v>
      </c>
      <c r="BN106" s="8">
        <v>1.4246758861777882</v>
      </c>
      <c r="BO106" s="8">
        <v>0.75420638438276777</v>
      </c>
      <c r="BP106" s="8">
        <v>0.60718379726253091</v>
      </c>
      <c r="BQ106" s="8">
        <v>0.56348838973350301</v>
      </c>
      <c r="BR106" s="8">
        <v>0.53779289839638533</v>
      </c>
      <c r="BS106" s="8">
        <v>0.70289890655978915</v>
      </c>
      <c r="BT106" s="8">
        <v>1.3072780376540796</v>
      </c>
      <c r="BU106" s="8">
        <v>1.5271515860109433</v>
      </c>
      <c r="BV106" s="8">
        <v>1.1016947985991348</v>
      </c>
      <c r="BW106" s="8">
        <v>0.89830520140086512</v>
      </c>
      <c r="BX106" s="8">
        <v>0</v>
      </c>
      <c r="BY106" s="8">
        <v>7</v>
      </c>
      <c r="BZ106" s="8">
        <v>7</v>
      </c>
      <c r="CA106" s="8">
        <v>6</v>
      </c>
      <c r="CB106" s="8">
        <v>6</v>
      </c>
      <c r="CC106" s="8">
        <v>2</v>
      </c>
      <c r="CD106" s="8">
        <v>0</v>
      </c>
      <c r="CE106" s="8">
        <v>28</v>
      </c>
      <c r="CF106" s="9">
        <v>1.6351545438375223</v>
      </c>
      <c r="CG106" s="9">
        <v>1.3911477281730069</v>
      </c>
      <c r="CH106" s="9">
        <v>1.3066621979311419</v>
      </c>
      <c r="CI106" s="9">
        <v>1.2773963650689693</v>
      </c>
      <c r="CJ106" s="9">
        <v>1.4522464559438688</v>
      </c>
      <c r="CK106" s="9">
        <v>2.1483648893913996</v>
      </c>
      <c r="CL106" s="9">
        <v>2.7890278196540916</v>
      </c>
      <c r="CM106" s="9">
        <v>1.4839043112939305</v>
      </c>
      <c r="CN106" s="9">
        <v>1.2650720650094389</v>
      </c>
      <c r="CO106" s="9">
        <v>1.1461452625017201</v>
      </c>
      <c r="CP106" s="9">
        <v>1.144025437592874</v>
      </c>
      <c r="CQ106" s="9">
        <v>1.5269410691897156</v>
      </c>
      <c r="CR106" s="9">
        <v>2.4311833514957795</v>
      </c>
      <c r="CS106" s="9">
        <v>3.0027285029165416</v>
      </c>
      <c r="CT106" s="9">
        <v>1.567664882593788</v>
      </c>
      <c r="CU106" s="9">
        <v>1.2703791879973505</v>
      </c>
      <c r="CV106" s="9">
        <v>1.1424558340769844</v>
      </c>
      <c r="CW106" s="9">
        <v>1.0678983627691174</v>
      </c>
      <c r="CX106" s="9">
        <v>1.2814163279813875</v>
      </c>
      <c r="CY106" s="9">
        <v>2.2105560728617131</v>
      </c>
      <c r="CZ106" s="9">
        <v>2.4596293317196598</v>
      </c>
      <c r="DA106" s="9">
        <v>1.4016317028249561</v>
      </c>
      <c r="DB106" s="9">
        <v>1.1712517983591402</v>
      </c>
      <c r="DC106" s="9">
        <v>1.0923821309317987</v>
      </c>
      <c r="DD106" s="9">
        <v>1.033616016813341</v>
      </c>
      <c r="DE106" s="9">
        <v>1.3275878735886075</v>
      </c>
      <c r="DF106" s="9">
        <v>2.3418343754247619</v>
      </c>
      <c r="DG106" s="9">
        <v>2.6316961020573926</v>
      </c>
      <c r="DH106" s="9">
        <v>2.1431489345445058</v>
      </c>
      <c r="DI106" s="9">
        <v>1.8568510654554939</v>
      </c>
      <c r="DJ106" s="9"/>
      <c r="DK106" s="9">
        <v>12</v>
      </c>
      <c r="DL106" s="9">
        <v>12</v>
      </c>
      <c r="DM106" s="9">
        <v>11</v>
      </c>
      <c r="DN106" s="9">
        <v>11</v>
      </c>
      <c r="DO106" s="9">
        <v>4</v>
      </c>
      <c r="DP106" s="9"/>
      <c r="DQ106" s="9">
        <v>50</v>
      </c>
      <c r="DR106" s="8">
        <f>+SUM(Tabla2[[#This Row],[1 gral]:[1 gral]])</f>
        <v>1.6351545438375223</v>
      </c>
      <c r="DS106" s="8">
        <f>+SUM(Tabla2[[#This Row],[1 temm]:[1 temm]])</f>
        <v>0.96380870918593065</v>
      </c>
      <c r="DT106" s="8">
        <f>+SUM(Tabla2[[#This Row],[1 porta]:[1 porta]])</f>
        <v>0.12059800083105997</v>
      </c>
      <c r="DU106" s="8">
        <f>+Tabla2[[#This Row],[GRAL]]-(Tabla2[[#This Row],[TEMM14]]+Tabla2[[#This Row],[PORTA15]])</f>
        <v>0.55074783382053183</v>
      </c>
    </row>
    <row r="107" spans="1:125" hidden="1" x14ac:dyDescent="0.2">
      <c r="A107" s="84" t="s">
        <v>455</v>
      </c>
      <c r="B107" s="84" t="s">
        <v>483</v>
      </c>
      <c r="C107" s="11" t="s">
        <v>450</v>
      </c>
      <c r="D107" s="11">
        <v>209003824</v>
      </c>
      <c r="E107" s="11" t="s">
        <v>445</v>
      </c>
      <c r="F107" s="11" t="s">
        <v>471</v>
      </c>
      <c r="G107" s="43" t="s">
        <v>280</v>
      </c>
      <c r="H107" s="10">
        <v>0.24119600166211994</v>
      </c>
      <c r="I107" s="10">
        <v>0.33579695298934253</v>
      </c>
      <c r="J107" s="10">
        <v>0.31244143871585139</v>
      </c>
      <c r="K107" s="10">
        <v>0.30013905508055283</v>
      </c>
      <c r="L107" s="10">
        <v>0.32748172384067437</v>
      </c>
      <c r="M107" s="10">
        <v>0.29486199897824017</v>
      </c>
      <c r="N107" s="10">
        <v>0.18808282873321855</v>
      </c>
      <c r="O107" s="10">
        <v>0.26913751642976363</v>
      </c>
      <c r="P107" s="10">
        <v>0.31415860516523431</v>
      </c>
      <c r="Q107" s="10">
        <v>0.27333323693359379</v>
      </c>
      <c r="R107" s="10">
        <v>0.30502427626390816</v>
      </c>
      <c r="S107" s="10">
        <v>0.32289190451791866</v>
      </c>
      <c r="T107" s="10">
        <v>0.34035535288407659</v>
      </c>
      <c r="U107" s="10">
        <v>0.17509910780550492</v>
      </c>
      <c r="V107" s="10">
        <v>0.27992707526488514</v>
      </c>
      <c r="W107" s="10">
        <v>0.32816098602968802</v>
      </c>
      <c r="X107" s="10">
        <v>0.29945372551280836</v>
      </c>
      <c r="Y107" s="10">
        <v>0.29261704850374559</v>
      </c>
      <c r="Z107" s="10">
        <v>0.30749537322329268</v>
      </c>
      <c r="AA107" s="10">
        <v>0.32200674861888828</v>
      </c>
      <c r="AB107" s="10">
        <v>0.17033904284669213</v>
      </c>
      <c r="AC107" s="10">
        <v>0.28924212437401942</v>
      </c>
      <c r="AD107" s="10">
        <v>0.31855760584317744</v>
      </c>
      <c r="AE107" s="10">
        <v>0.30646962941858735</v>
      </c>
      <c r="AF107" s="10">
        <v>0.27458903897206444</v>
      </c>
      <c r="AG107" s="10">
        <v>0.31217939197791778</v>
      </c>
      <c r="AH107" s="10">
        <v>0.326075292002592</v>
      </c>
      <c r="AI107" s="10">
        <v>0.17288691741164147</v>
      </c>
      <c r="AJ107" s="10">
        <v>0.49060673664580357</v>
      </c>
      <c r="AK107" s="10">
        <v>0.50939326335419632</v>
      </c>
      <c r="AL107" s="10">
        <v>0</v>
      </c>
      <c r="AM107" s="6">
        <v>2</v>
      </c>
      <c r="AN107" s="8">
        <v>2</v>
      </c>
      <c r="AO107" s="8">
        <v>2</v>
      </c>
      <c r="AP107" s="8">
        <v>2</v>
      </c>
      <c r="AQ107" s="8">
        <v>1</v>
      </c>
      <c r="AR107" s="8">
        <v>0</v>
      </c>
      <c r="AS107" s="64">
        <v>9</v>
      </c>
      <c r="AT107" s="8">
        <v>1.5145565430064625</v>
      </c>
      <c r="AU107" s="8">
        <v>1.2232492516783355</v>
      </c>
      <c r="AV107" s="8">
        <v>1.1504414785732162</v>
      </c>
      <c r="AW107" s="8">
        <v>1.1273268375286929</v>
      </c>
      <c r="AX107" s="8">
        <v>1.2885055940235317</v>
      </c>
      <c r="AY107" s="8">
        <v>2.0009338899022797</v>
      </c>
      <c r="AZ107" s="8">
        <v>2.6949864052874823</v>
      </c>
      <c r="BA107" s="8">
        <v>1.3493355530790487</v>
      </c>
      <c r="BB107" s="8">
        <v>1.1079927624268218</v>
      </c>
      <c r="BC107" s="8">
        <v>1.0094786440349233</v>
      </c>
      <c r="BD107" s="8">
        <v>0.99151329946091993</v>
      </c>
      <c r="BE107" s="8">
        <v>1.3654951169307563</v>
      </c>
      <c r="BF107" s="8">
        <v>2.2610056750537408</v>
      </c>
      <c r="BG107" s="8">
        <v>2.9151789490137894</v>
      </c>
      <c r="BH107" s="8">
        <v>1.4277013449613454</v>
      </c>
      <c r="BI107" s="8">
        <v>1.1062986949825064</v>
      </c>
      <c r="BJ107" s="8">
        <v>0.99272897132058013</v>
      </c>
      <c r="BK107" s="8">
        <v>0.92158983851724452</v>
      </c>
      <c r="BL107" s="8">
        <v>1.127668641369741</v>
      </c>
      <c r="BM107" s="8">
        <v>2.0495526985522692</v>
      </c>
      <c r="BN107" s="8">
        <v>2.3744598102963135</v>
      </c>
      <c r="BO107" s="8">
        <v>1.2570106406379464</v>
      </c>
      <c r="BP107" s="8">
        <v>1.0119729954375514</v>
      </c>
      <c r="BQ107" s="8">
        <v>0.93914731622250502</v>
      </c>
      <c r="BR107" s="8">
        <v>0.89632149732730881</v>
      </c>
      <c r="BS107" s="8">
        <v>1.1714981775996485</v>
      </c>
      <c r="BT107" s="8">
        <v>2.1787967294234662</v>
      </c>
      <c r="BU107" s="8">
        <v>2.5452526433515721</v>
      </c>
      <c r="BV107" s="8">
        <v>0.55084739929956739</v>
      </c>
      <c r="BW107" s="8">
        <v>0.44915260070043256</v>
      </c>
      <c r="BX107" s="8">
        <v>0</v>
      </c>
      <c r="BY107" s="8">
        <v>11</v>
      </c>
      <c r="BZ107" s="8">
        <v>11</v>
      </c>
      <c r="CA107" s="8">
        <v>10</v>
      </c>
      <c r="CB107" s="8">
        <v>10</v>
      </c>
      <c r="CC107" s="8">
        <v>1</v>
      </c>
      <c r="CD107" s="8">
        <v>0</v>
      </c>
      <c r="CE107" s="8">
        <v>43</v>
      </c>
      <c r="CF107" s="9">
        <v>3.4079960461301777</v>
      </c>
      <c r="CG107" s="9">
        <v>2.8934999337713165</v>
      </c>
      <c r="CH107" s="9">
        <v>2.7179099848234856</v>
      </c>
      <c r="CI107" s="9">
        <v>2.6572769880950928</v>
      </c>
      <c r="CJ107" s="9">
        <v>3.0216297840716955</v>
      </c>
      <c r="CK107" s="9">
        <v>4.4786328596830067</v>
      </c>
      <c r="CL107" s="9">
        <v>5.8230544034252265</v>
      </c>
      <c r="CM107" s="9">
        <v>3.0904754910495926</v>
      </c>
      <c r="CN107" s="9">
        <v>2.6308707447849526</v>
      </c>
      <c r="CO107" s="9">
        <v>2.384061310824797</v>
      </c>
      <c r="CP107" s="9">
        <v>2.3781884478640132</v>
      </c>
      <c r="CQ107" s="9">
        <v>3.1780180581004092</v>
      </c>
      <c r="CR107" s="9">
        <v>5.0679126734509889</v>
      </c>
      <c r="CS107" s="9">
        <v>6.270473273925246</v>
      </c>
      <c r="CT107" s="9">
        <v>3.2780998996837103</v>
      </c>
      <c r="CU107" s="9">
        <v>2.651388245492952</v>
      </c>
      <c r="CV107" s="9">
        <v>2.3841845652860267</v>
      </c>
      <c r="CW107" s="9">
        <v>2.2279557093899589</v>
      </c>
      <c r="CX107" s="9">
        <v>2.6755995200997491</v>
      </c>
      <c r="CY107" s="9">
        <v>4.6260674155786532</v>
      </c>
      <c r="CZ107" s="9">
        <v>5.1567046444689506</v>
      </c>
      <c r="DA107" s="9">
        <v>2.9289644697137067</v>
      </c>
      <c r="DB107" s="9">
        <v>2.443700896262035</v>
      </c>
      <c r="DC107" s="9">
        <v>2.2786789934858476</v>
      </c>
      <c r="DD107" s="9">
        <v>2.1568641833594131</v>
      </c>
      <c r="DE107" s="9">
        <v>2.7723255649371796</v>
      </c>
      <c r="DF107" s="9">
        <v>4.9015484237918709</v>
      </c>
      <c r="DG107" s="9">
        <v>5.5179174684499426</v>
      </c>
      <c r="DH107" s="9">
        <v>2.1431489345445058</v>
      </c>
      <c r="DI107" s="9">
        <v>1.8568510654554942</v>
      </c>
      <c r="DJ107" s="9"/>
      <c r="DK107" s="9">
        <v>25</v>
      </c>
      <c r="DL107" s="9">
        <v>25</v>
      </c>
      <c r="DM107" s="9">
        <v>23</v>
      </c>
      <c r="DN107" s="9">
        <v>23</v>
      </c>
      <c r="DO107" s="9">
        <v>4</v>
      </c>
      <c r="DP107" s="9"/>
      <c r="DQ107" s="9">
        <v>100</v>
      </c>
      <c r="DR107" s="8">
        <f>+SUM(Tabla2[[#This Row],[1 gral]:[1 gral]])</f>
        <v>3.4079960461301777</v>
      </c>
      <c r="DS107" s="8">
        <f>+SUM(Tabla2[[#This Row],[1 temm]:[1 temm]])</f>
        <v>1.5145565430064625</v>
      </c>
      <c r="DT107" s="8">
        <f>+SUM(Tabla2[[#This Row],[1 porta]:[1 porta]])</f>
        <v>0.24119600166211994</v>
      </c>
      <c r="DU107" s="8">
        <f>+Tabla2[[#This Row],[GRAL]]-(Tabla2[[#This Row],[TEMM14]]+Tabla2[[#This Row],[PORTA15]])</f>
        <v>1.6522435014615953</v>
      </c>
    </row>
    <row r="108" spans="1:125" hidden="1" x14ac:dyDescent="0.2">
      <c r="A108" s="84" t="s">
        <v>455</v>
      </c>
      <c r="B108" s="84" t="s">
        <v>483</v>
      </c>
      <c r="C108" s="11" t="s">
        <v>450</v>
      </c>
      <c r="D108" s="11">
        <v>209003825</v>
      </c>
      <c r="E108" s="11" t="s">
        <v>446</v>
      </c>
      <c r="F108" s="11" t="s">
        <v>474</v>
      </c>
      <c r="G108" s="43" t="s">
        <v>280</v>
      </c>
      <c r="H108" s="10">
        <v>0.12059800083105997</v>
      </c>
      <c r="I108" s="10">
        <v>0.16789847649467127</v>
      </c>
      <c r="J108" s="10">
        <v>0.1562207193579257</v>
      </c>
      <c r="K108" s="10">
        <v>0.15006952754027642</v>
      </c>
      <c r="L108" s="10">
        <v>0.16374086192033718</v>
      </c>
      <c r="M108" s="10">
        <v>0.14743099948912008</v>
      </c>
      <c r="N108" s="10">
        <v>9.4041414366609274E-2</v>
      </c>
      <c r="O108" s="10">
        <v>0.13456875821488182</v>
      </c>
      <c r="P108" s="10">
        <v>0.15707930258261715</v>
      </c>
      <c r="Q108" s="10">
        <v>0.1366666184667969</v>
      </c>
      <c r="R108" s="10">
        <v>0.15251213813195408</v>
      </c>
      <c r="S108" s="10">
        <v>0.16144595225895933</v>
      </c>
      <c r="T108" s="10">
        <v>0.17017767644203829</v>
      </c>
      <c r="U108" s="10">
        <v>8.7549553902752458E-2</v>
      </c>
      <c r="V108" s="10">
        <v>0.13996353763244257</v>
      </c>
      <c r="W108" s="10">
        <v>0.16408049301484401</v>
      </c>
      <c r="X108" s="10">
        <v>0.14972686275640418</v>
      </c>
      <c r="Y108" s="10">
        <v>0.1463085242518728</v>
      </c>
      <c r="Z108" s="10">
        <v>0.15374768661164634</v>
      </c>
      <c r="AA108" s="10">
        <v>0.16100337430944414</v>
      </c>
      <c r="AB108" s="10">
        <v>8.5169521423346065E-2</v>
      </c>
      <c r="AC108" s="10">
        <v>0.14462106218700971</v>
      </c>
      <c r="AD108" s="10">
        <v>0.15927880292158872</v>
      </c>
      <c r="AE108" s="10">
        <v>0.15323481470929368</v>
      </c>
      <c r="AF108" s="10">
        <v>0.13729451948603222</v>
      </c>
      <c r="AG108" s="10">
        <v>0.15608969598895889</v>
      </c>
      <c r="AH108" s="10">
        <v>0.163037646001296</v>
      </c>
      <c r="AI108" s="10">
        <v>8.6443458705820736E-2</v>
      </c>
      <c r="AJ108" s="10">
        <v>0</v>
      </c>
      <c r="AK108" s="10">
        <v>0</v>
      </c>
      <c r="AL108" s="10">
        <v>0</v>
      </c>
      <c r="AM108" s="6">
        <v>1</v>
      </c>
      <c r="AN108" s="8">
        <v>1</v>
      </c>
      <c r="AO108" s="8">
        <v>1</v>
      </c>
      <c r="AP108" s="8">
        <v>1</v>
      </c>
      <c r="AQ108" s="8">
        <v>0</v>
      </c>
      <c r="AR108" s="8">
        <v>0</v>
      </c>
      <c r="AS108" s="64">
        <v>4</v>
      </c>
      <c r="AT108" s="8">
        <v>3.166800044468058</v>
      </c>
      <c r="AU108" s="8">
        <v>2.5577029807819742</v>
      </c>
      <c r="AV108" s="8">
        <v>2.4054685461076337</v>
      </c>
      <c r="AW108" s="8">
        <v>2.3571379330145397</v>
      </c>
      <c r="AX108" s="8">
        <v>2.6941480602310208</v>
      </c>
      <c r="AY108" s="8">
        <v>4.1837708607047661</v>
      </c>
      <c r="AZ108" s="8">
        <v>5.6349715746920088</v>
      </c>
      <c r="BA108" s="8">
        <v>2.821337974619829</v>
      </c>
      <c r="BB108" s="8">
        <v>2.3167121396197183</v>
      </c>
      <c r="BC108" s="8">
        <v>2.1107280738912033</v>
      </c>
      <c r="BD108" s="8">
        <v>2.073164171600105</v>
      </c>
      <c r="BE108" s="8">
        <v>2.8551261535824906</v>
      </c>
      <c r="BF108" s="8">
        <v>4.7275573205669126</v>
      </c>
      <c r="BG108" s="8">
        <v>6.0953741661197416</v>
      </c>
      <c r="BH108" s="8">
        <v>2.9981728244188255</v>
      </c>
      <c r="BI108" s="8">
        <v>2.3232272594632639</v>
      </c>
      <c r="BJ108" s="8">
        <v>2.0847308397732185</v>
      </c>
      <c r="BK108" s="8">
        <v>1.9353386608862135</v>
      </c>
      <c r="BL108" s="8">
        <v>2.3681041468764561</v>
      </c>
      <c r="BM108" s="8">
        <v>4.3040606669597654</v>
      </c>
      <c r="BN108" s="8">
        <v>4.9863656016222588</v>
      </c>
      <c r="BO108" s="8">
        <v>2.6397223453396874</v>
      </c>
      <c r="BP108" s="8">
        <v>2.1251432904188579</v>
      </c>
      <c r="BQ108" s="8">
        <v>1.9722093640672607</v>
      </c>
      <c r="BR108" s="8">
        <v>1.8822751443873487</v>
      </c>
      <c r="BS108" s="8">
        <v>2.460146172959262</v>
      </c>
      <c r="BT108" s="8">
        <v>4.5754731317892787</v>
      </c>
      <c r="BU108" s="8">
        <v>5.3450305510383016</v>
      </c>
      <c r="BV108" s="8">
        <v>3.2448437331436404</v>
      </c>
      <c r="BW108" s="8">
        <v>2.7551562668563592</v>
      </c>
      <c r="BX108" s="8">
        <v>0</v>
      </c>
      <c r="BY108" s="8">
        <v>23</v>
      </c>
      <c r="BZ108" s="8">
        <v>23</v>
      </c>
      <c r="CA108" s="8">
        <v>21</v>
      </c>
      <c r="CB108" s="8">
        <v>21</v>
      </c>
      <c r="CC108" s="8">
        <v>6</v>
      </c>
      <c r="CD108" s="8">
        <v>0</v>
      </c>
      <c r="CE108" s="8">
        <v>94</v>
      </c>
      <c r="CF108" s="9">
        <v>4.2512067544850485</v>
      </c>
      <c r="CG108" s="9">
        <v>3.5040327992537681</v>
      </c>
      <c r="CH108" s="9">
        <v>3.2937883881939696</v>
      </c>
      <c r="CI108" s="9">
        <v>3.2245972662548938</v>
      </c>
      <c r="CJ108" s="9">
        <v>3.6778470274390598</v>
      </c>
      <c r="CK108" s="9">
        <v>5.6045234264953372</v>
      </c>
      <c r="CL108" s="9">
        <v>7.4440043378779253</v>
      </c>
      <c r="CM108" s="9">
        <v>3.8145748120668328</v>
      </c>
      <c r="CN108" s="9">
        <v>3.1788777455648587</v>
      </c>
      <c r="CO108" s="9">
        <v>2.8897901931074967</v>
      </c>
      <c r="CP108" s="9">
        <v>2.8566393184799175</v>
      </c>
      <c r="CQ108" s="9">
        <v>3.8855235438882949</v>
      </c>
      <c r="CR108" s="9">
        <v>6.336556790224968</v>
      </c>
      <c r="CS108" s="9">
        <v>8.0380375966676318</v>
      </c>
      <c r="CT108" s="9">
        <v>4.1375273035242097</v>
      </c>
      <c r="CU108" s="9">
        <v>3.2617168389658624</v>
      </c>
      <c r="CV108" s="9">
        <v>2.9293679824540289</v>
      </c>
      <c r="CW108" s="9">
        <v>2.7267600721001575</v>
      </c>
      <c r="CX108" s="9">
        <v>3.3112198824469212</v>
      </c>
      <c r="CY108" s="9">
        <v>5.8997509302557978</v>
      </c>
      <c r="CZ108" s="9">
        <v>6.7336569902530243</v>
      </c>
      <c r="DA108" s="9">
        <v>3.6642508559732594</v>
      </c>
      <c r="DB108" s="9">
        <v>2.9928031901467325</v>
      </c>
      <c r="DC108" s="9">
        <v>2.7828473001323077</v>
      </c>
      <c r="DD108" s="9">
        <v>2.6469947120024973</v>
      </c>
      <c r="DE108" s="9">
        <v>3.4362845932679749</v>
      </c>
      <c r="DF108" s="9">
        <v>6.2636684883870011</v>
      </c>
      <c r="DG108" s="9">
        <v>7.2131508600902228</v>
      </c>
      <c r="DH108" s="9">
        <v>3.3050843957974041</v>
      </c>
      <c r="DI108" s="9">
        <v>2.6949156042025955</v>
      </c>
      <c r="DJ108" s="9"/>
      <c r="DK108" s="9">
        <v>31</v>
      </c>
      <c r="DL108" s="9">
        <v>31</v>
      </c>
      <c r="DM108" s="9">
        <v>29</v>
      </c>
      <c r="DN108" s="9">
        <v>29</v>
      </c>
      <c r="DO108" s="9">
        <v>6</v>
      </c>
      <c r="DP108" s="9"/>
      <c r="DQ108" s="9">
        <v>126</v>
      </c>
      <c r="DR108" s="8">
        <f>+SUM(Tabla2[[#This Row],[1 gral]:[1 gral]])</f>
        <v>4.2512067544850485</v>
      </c>
      <c r="DS108" s="8">
        <f>+SUM(Tabla2[[#This Row],[1 temm]:[1 temm]])</f>
        <v>3.166800044468058</v>
      </c>
      <c r="DT108" s="8">
        <f>+SUM(Tabla2[[#This Row],[1 porta]:[1 porta]])</f>
        <v>0.12059800083105997</v>
      </c>
      <c r="DU108" s="8">
        <f>+Tabla2[[#This Row],[GRAL]]-(Tabla2[[#This Row],[TEMM14]]+Tabla2[[#This Row],[PORTA15]])</f>
        <v>0.96380870918593065</v>
      </c>
    </row>
    <row r="109" spans="1:125" hidden="1" x14ac:dyDescent="0.2">
      <c r="A109" s="84" t="s">
        <v>455</v>
      </c>
      <c r="B109" s="84" t="s">
        <v>483</v>
      </c>
      <c r="C109" s="11" t="s">
        <v>451</v>
      </c>
      <c r="D109" s="11">
        <v>209003827</v>
      </c>
      <c r="E109" s="11" t="s">
        <v>447</v>
      </c>
      <c r="F109" s="11" t="s">
        <v>476</v>
      </c>
      <c r="G109" s="43" t="s">
        <v>280</v>
      </c>
      <c r="H109" s="10">
        <v>0.12059800083105997</v>
      </c>
      <c r="I109" s="10">
        <v>0.16789847649467127</v>
      </c>
      <c r="J109" s="10">
        <v>0.1562207193579257</v>
      </c>
      <c r="K109" s="10">
        <v>0.15006952754027642</v>
      </c>
      <c r="L109" s="10">
        <v>0.16374086192033718</v>
      </c>
      <c r="M109" s="10">
        <v>0.14743099948912008</v>
      </c>
      <c r="N109" s="10">
        <v>9.4041414366609274E-2</v>
      </c>
      <c r="O109" s="10">
        <v>0.26913751642976363</v>
      </c>
      <c r="P109" s="10">
        <v>0.31415860516523431</v>
      </c>
      <c r="Q109" s="10">
        <v>0.27333323693359379</v>
      </c>
      <c r="R109" s="10">
        <v>0.30502427626390816</v>
      </c>
      <c r="S109" s="10">
        <v>0.32289190451791866</v>
      </c>
      <c r="T109" s="10">
        <v>0.34035535288407659</v>
      </c>
      <c r="U109" s="10">
        <v>0.17509910780550492</v>
      </c>
      <c r="V109" s="10">
        <v>0.27992707526488514</v>
      </c>
      <c r="W109" s="10">
        <v>0.32816098602968802</v>
      </c>
      <c r="X109" s="10">
        <v>0.29945372551280836</v>
      </c>
      <c r="Y109" s="10">
        <v>0.29261704850374559</v>
      </c>
      <c r="Z109" s="10">
        <v>0.30749537322329268</v>
      </c>
      <c r="AA109" s="10">
        <v>0.32200674861888828</v>
      </c>
      <c r="AB109" s="10">
        <v>0.17033904284669213</v>
      </c>
      <c r="AC109" s="10">
        <v>0.28924212437401942</v>
      </c>
      <c r="AD109" s="10">
        <v>0.31855760584317744</v>
      </c>
      <c r="AE109" s="10">
        <v>0.30646962941858735</v>
      </c>
      <c r="AF109" s="10">
        <v>0.27458903897206444</v>
      </c>
      <c r="AG109" s="10">
        <v>0.31217939197791778</v>
      </c>
      <c r="AH109" s="10">
        <v>0.326075292002592</v>
      </c>
      <c r="AI109" s="10">
        <v>0.17288691741164147</v>
      </c>
      <c r="AJ109" s="10">
        <v>0</v>
      </c>
      <c r="AK109" s="10">
        <v>0</v>
      </c>
      <c r="AL109" s="10">
        <v>0</v>
      </c>
      <c r="AM109" s="6">
        <v>1</v>
      </c>
      <c r="AN109" s="8">
        <v>2</v>
      </c>
      <c r="AO109" s="8">
        <v>2</v>
      </c>
      <c r="AP109" s="8">
        <v>2</v>
      </c>
      <c r="AQ109" s="8">
        <v>0</v>
      </c>
      <c r="AR109" s="8">
        <v>0</v>
      </c>
      <c r="AS109" s="64">
        <v>7</v>
      </c>
      <c r="AT109" s="8">
        <v>3.71754787828859</v>
      </c>
      <c r="AU109" s="8">
        <v>3.0025208904831873</v>
      </c>
      <c r="AV109" s="8">
        <v>2.8238109019524398</v>
      </c>
      <c r="AW109" s="8">
        <v>2.7670749648431556</v>
      </c>
      <c r="AX109" s="8">
        <v>3.1626955489668505</v>
      </c>
      <c r="AY109" s="8">
        <v>4.9113831843055955</v>
      </c>
      <c r="AZ109" s="8">
        <v>6.6149666311601845</v>
      </c>
      <c r="BA109" s="8">
        <v>3.3120054484667563</v>
      </c>
      <c r="BB109" s="8">
        <v>2.7196185986840171</v>
      </c>
      <c r="BC109" s="8">
        <v>2.4778112171766296</v>
      </c>
      <c r="BD109" s="8">
        <v>2.433714462313167</v>
      </c>
      <c r="BE109" s="8">
        <v>3.3516698324664018</v>
      </c>
      <c r="BF109" s="8">
        <v>5.5497412024046371</v>
      </c>
      <c r="BG109" s="8">
        <v>7.155439238488392</v>
      </c>
      <c r="BH109" s="8">
        <v>3.5692533624033635</v>
      </c>
      <c r="BI109" s="8">
        <v>2.7657467374562663</v>
      </c>
      <c r="BJ109" s="8">
        <v>2.4818224283014505</v>
      </c>
      <c r="BK109" s="8">
        <v>2.3039745962931115</v>
      </c>
      <c r="BL109" s="8">
        <v>2.8191716034243526</v>
      </c>
      <c r="BM109" s="8">
        <v>5.1238817463806727</v>
      </c>
      <c r="BN109" s="8">
        <v>5.9361495257407837</v>
      </c>
      <c r="BO109" s="8">
        <v>3.1425266015948661</v>
      </c>
      <c r="BP109" s="8">
        <v>2.5299324885938788</v>
      </c>
      <c r="BQ109" s="8">
        <v>2.3478682905562627</v>
      </c>
      <c r="BR109" s="8">
        <v>2.2408037433182719</v>
      </c>
      <c r="BS109" s="8">
        <v>2.9287454439991216</v>
      </c>
      <c r="BT109" s="8">
        <v>5.4469918235586654</v>
      </c>
      <c r="BU109" s="8">
        <v>6.3631316083789304</v>
      </c>
      <c r="BV109" s="8">
        <v>3.8559317950969718</v>
      </c>
      <c r="BW109" s="8">
        <v>3.1440682049030277</v>
      </c>
      <c r="BX109" s="8">
        <v>0</v>
      </c>
      <c r="BY109" s="8">
        <v>27</v>
      </c>
      <c r="BZ109" s="8">
        <v>27</v>
      </c>
      <c r="CA109" s="8">
        <v>25</v>
      </c>
      <c r="CB109" s="8">
        <v>25</v>
      </c>
      <c r="CC109" s="8">
        <v>7</v>
      </c>
      <c r="CD109" s="8">
        <v>0</v>
      </c>
      <c r="CE109" s="8">
        <v>111</v>
      </c>
      <c r="CF109" s="9">
        <v>4.8019545883055805</v>
      </c>
      <c r="CG109" s="9">
        <v>3.9488507089549811</v>
      </c>
      <c r="CH109" s="9">
        <v>3.7121307440387756</v>
      </c>
      <c r="CI109" s="9">
        <v>3.6345342980835094</v>
      </c>
      <c r="CJ109" s="9">
        <v>4.1463945161748894</v>
      </c>
      <c r="CK109" s="9">
        <v>6.3321357500961657</v>
      </c>
      <c r="CL109" s="9">
        <v>8.4239993943461009</v>
      </c>
      <c r="CM109" s="9">
        <v>4.4398110441286418</v>
      </c>
      <c r="CN109" s="9">
        <v>3.7388635072117742</v>
      </c>
      <c r="CO109" s="9">
        <v>3.3935399548597198</v>
      </c>
      <c r="CP109" s="9">
        <v>3.3697017473249335</v>
      </c>
      <c r="CQ109" s="9">
        <v>4.5435131750311655</v>
      </c>
      <c r="CR109" s="9">
        <v>7.3289183485047307</v>
      </c>
      <c r="CS109" s="9">
        <v>9.1856522229390354</v>
      </c>
      <c r="CT109" s="9">
        <v>4.7058012446450563</v>
      </c>
      <c r="CU109" s="9">
        <v>3.7576869404754585</v>
      </c>
      <c r="CV109" s="9">
        <v>3.3769135366066068</v>
      </c>
      <c r="CW109" s="9">
        <v>3.1495455479072039</v>
      </c>
      <c r="CX109" s="9">
        <v>3.8032681614694899</v>
      </c>
      <c r="CY109" s="9">
        <v>6.6756201141309228</v>
      </c>
      <c r="CZ109" s="9">
        <v>7.5311644547652641</v>
      </c>
      <c r="DA109" s="9">
        <v>4.1859751103516532</v>
      </c>
      <c r="DB109" s="9">
        <v>3.4556738916995871</v>
      </c>
      <c r="DC109" s="9">
        <v>3.2178263097083528</v>
      </c>
      <c r="DD109" s="9">
        <v>3.0531856806867217</v>
      </c>
      <c r="DE109" s="9">
        <v>3.9438237425368285</v>
      </c>
      <c r="DF109" s="9">
        <v>7.0803451532153368</v>
      </c>
      <c r="DG109" s="9">
        <v>8.0631701118015151</v>
      </c>
      <c r="DH109" s="9">
        <v>4.9576265936961068</v>
      </c>
      <c r="DI109" s="9">
        <v>4.0423734063038932</v>
      </c>
      <c r="DJ109" s="9"/>
      <c r="DK109" s="9">
        <v>35</v>
      </c>
      <c r="DL109" s="9">
        <v>36</v>
      </c>
      <c r="DM109" s="9">
        <v>33</v>
      </c>
      <c r="DN109" s="9">
        <v>33</v>
      </c>
      <c r="DO109" s="9">
        <v>9</v>
      </c>
      <c r="DP109" s="9"/>
      <c r="DQ109" s="9">
        <v>146</v>
      </c>
      <c r="DR109" s="8">
        <f>+SUM(Tabla2[[#This Row],[1 gral]:[1 gral]])</f>
        <v>4.8019545883055805</v>
      </c>
      <c r="DS109" s="8">
        <f>+SUM(Tabla2[[#This Row],[1 temm]:[1 temm]])</f>
        <v>3.71754787828859</v>
      </c>
      <c r="DT109" s="8">
        <f>+SUM(Tabla2[[#This Row],[1 porta]:[1 porta]])</f>
        <v>0.12059800083105997</v>
      </c>
      <c r="DU109" s="8">
        <f>+Tabla2[[#This Row],[GRAL]]-(Tabla2[[#This Row],[TEMM14]]+Tabla2[[#This Row],[PORTA15]])</f>
        <v>0.96380870918593065</v>
      </c>
    </row>
    <row r="110" spans="1:125" hidden="1" x14ac:dyDescent="0.2">
      <c r="A110" s="84" t="s">
        <v>456</v>
      </c>
      <c r="B110" s="84" t="s">
        <v>483</v>
      </c>
      <c r="C110" s="11" t="s">
        <v>453</v>
      </c>
      <c r="D110" s="11">
        <v>209003838</v>
      </c>
      <c r="E110" s="11" t="s">
        <v>448</v>
      </c>
      <c r="F110" s="11" t="s">
        <v>478</v>
      </c>
      <c r="G110" s="43" t="s">
        <v>280</v>
      </c>
      <c r="H110" s="10">
        <v>0.12059800083105997</v>
      </c>
      <c r="I110" s="10">
        <v>0.16789847649467127</v>
      </c>
      <c r="J110" s="10">
        <v>0.1562207193579257</v>
      </c>
      <c r="K110" s="10">
        <v>0.15006952754027642</v>
      </c>
      <c r="L110" s="10">
        <v>0.16374086192033718</v>
      </c>
      <c r="M110" s="10">
        <v>0.14743099948912008</v>
      </c>
      <c r="N110" s="10">
        <v>9.4041414366609274E-2</v>
      </c>
      <c r="O110" s="10">
        <v>0.13456875821488182</v>
      </c>
      <c r="P110" s="10">
        <v>0.15707930258261715</v>
      </c>
      <c r="Q110" s="10">
        <v>0.1366666184667969</v>
      </c>
      <c r="R110" s="10">
        <v>0.15251213813195408</v>
      </c>
      <c r="S110" s="10">
        <v>0.16144595225895933</v>
      </c>
      <c r="T110" s="10">
        <v>0.17017767644203829</v>
      </c>
      <c r="U110" s="10">
        <v>8.7549553902752458E-2</v>
      </c>
      <c r="V110" s="10">
        <v>0.13996353763244257</v>
      </c>
      <c r="W110" s="10">
        <v>0.16408049301484401</v>
      </c>
      <c r="X110" s="10">
        <v>0.14972686275640418</v>
      </c>
      <c r="Y110" s="10">
        <v>0.1463085242518728</v>
      </c>
      <c r="Z110" s="10">
        <v>0.15374768661164634</v>
      </c>
      <c r="AA110" s="10">
        <v>0.16100337430944414</v>
      </c>
      <c r="AB110" s="10">
        <v>8.5169521423346065E-2</v>
      </c>
      <c r="AC110" s="10">
        <v>0.14462106218700971</v>
      </c>
      <c r="AD110" s="10">
        <v>0.15927880292158872</v>
      </c>
      <c r="AE110" s="10">
        <v>0.15323481470929368</v>
      </c>
      <c r="AF110" s="10">
        <v>0.13729451948603222</v>
      </c>
      <c r="AG110" s="10">
        <v>0.15608969598895889</v>
      </c>
      <c r="AH110" s="10">
        <v>0.163037646001296</v>
      </c>
      <c r="AI110" s="10">
        <v>8.6443458705820736E-2</v>
      </c>
      <c r="AJ110" s="10">
        <v>0</v>
      </c>
      <c r="AK110" s="10">
        <v>0</v>
      </c>
      <c r="AL110" s="10">
        <v>0</v>
      </c>
      <c r="AM110" s="6">
        <v>1</v>
      </c>
      <c r="AN110" s="8">
        <v>1</v>
      </c>
      <c r="AO110" s="8">
        <v>1</v>
      </c>
      <c r="AP110" s="8">
        <v>1</v>
      </c>
      <c r="AQ110" s="8">
        <v>0</v>
      </c>
      <c r="AR110" s="8">
        <v>0</v>
      </c>
      <c r="AS110" s="64">
        <v>4</v>
      </c>
      <c r="AT110" s="8">
        <v>2.3406782937372603</v>
      </c>
      <c r="AU110" s="8">
        <v>1.8904761162301549</v>
      </c>
      <c r="AV110" s="8">
        <v>1.7779550123404251</v>
      </c>
      <c r="AW110" s="8">
        <v>1.7422323852716164</v>
      </c>
      <c r="AX110" s="8">
        <v>1.9913268271272762</v>
      </c>
      <c r="AY110" s="8">
        <v>3.0923523753035229</v>
      </c>
      <c r="AZ110" s="8">
        <v>4.1649789899897458</v>
      </c>
      <c r="BA110" s="8">
        <v>2.0853367638494391</v>
      </c>
      <c r="BB110" s="8">
        <v>1.7123524510232702</v>
      </c>
      <c r="BC110" s="8">
        <v>1.5601033589630631</v>
      </c>
      <c r="BD110" s="8">
        <v>1.5323387355305125</v>
      </c>
      <c r="BE110" s="8">
        <v>2.1103106352566234</v>
      </c>
      <c r="BF110" s="8">
        <v>3.4942814978103267</v>
      </c>
      <c r="BG110" s="8">
        <v>4.5052765575667655</v>
      </c>
      <c r="BH110" s="8">
        <v>2.2843221519381527</v>
      </c>
      <c r="BI110" s="8">
        <v>1.7700779119720105</v>
      </c>
      <c r="BJ110" s="8">
        <v>1.5883663541129283</v>
      </c>
      <c r="BK110" s="8">
        <v>1.4745437416275913</v>
      </c>
      <c r="BL110" s="8">
        <v>1.8042698261915857</v>
      </c>
      <c r="BM110" s="8">
        <v>3.2792843176836306</v>
      </c>
      <c r="BN110" s="8">
        <v>3.7991356964741017</v>
      </c>
      <c r="BO110" s="8">
        <v>2.0112170250207142</v>
      </c>
      <c r="BP110" s="8">
        <v>1.6191567927000823</v>
      </c>
      <c r="BQ110" s="8">
        <v>1.502635705956008</v>
      </c>
      <c r="BR110" s="8">
        <v>1.4341143957236941</v>
      </c>
      <c r="BS110" s="8">
        <v>1.8743970841594377</v>
      </c>
      <c r="BT110" s="8">
        <v>3.4860747670775458</v>
      </c>
      <c r="BU110" s="8">
        <v>4.0724042293625153</v>
      </c>
      <c r="BV110" s="8">
        <v>2.7542369964978368</v>
      </c>
      <c r="BW110" s="8">
        <v>2.2457630035021627</v>
      </c>
      <c r="BX110" s="8">
        <v>0</v>
      </c>
      <c r="BY110" s="8">
        <v>17</v>
      </c>
      <c r="BZ110" s="8">
        <v>17</v>
      </c>
      <c r="CA110" s="8">
        <v>16</v>
      </c>
      <c r="CB110" s="8">
        <v>16</v>
      </c>
      <c r="CC110" s="8">
        <v>5</v>
      </c>
      <c r="CD110" s="8">
        <v>0</v>
      </c>
      <c r="CE110" s="8">
        <v>71</v>
      </c>
      <c r="CF110" s="9">
        <v>3.0120241283888518</v>
      </c>
      <c r="CG110" s="9">
        <v>2.5031925024260393</v>
      </c>
      <c r="CH110" s="9">
        <v>2.3525180875431566</v>
      </c>
      <c r="CI110" s="9">
        <v>2.3022389446405085</v>
      </c>
      <c r="CJ110" s="9">
        <v>2.6236151777834431</v>
      </c>
      <c r="CK110" s="9">
        <v>3.9673956983934722</v>
      </c>
      <c r="CL110" s="9">
        <v>5.2390154608245307</v>
      </c>
      <c r="CM110" s="9">
        <v>2.7105729959112477</v>
      </c>
      <c r="CN110" s="9">
        <v>2.2723382126701863</v>
      </c>
      <c r="CO110" s="9">
        <v>2.0638531207152866</v>
      </c>
      <c r="CP110" s="9">
        <v>2.0454011643755283</v>
      </c>
      <c r="CQ110" s="9">
        <v>2.768300266399494</v>
      </c>
      <c r="CR110" s="9">
        <v>4.486643056090089</v>
      </c>
      <c r="CS110" s="9">
        <v>5.6528911838381681</v>
      </c>
      <c r="CT110" s="9">
        <v>2.9953662275551332</v>
      </c>
      <c r="CU110" s="9">
        <v>2.3766778829798572</v>
      </c>
      <c r="CV110" s="9">
        <v>2.1351848053975644</v>
      </c>
      <c r="CW110" s="9">
        <v>1.9894882012863617</v>
      </c>
      <c r="CX110" s="9">
        <v>2.4090849693511283</v>
      </c>
      <c r="CY110" s="9">
        <v>4.2601087714139823</v>
      </c>
      <c r="CZ110" s="9">
        <v>4.8340891420159728</v>
      </c>
      <c r="DA110" s="9">
        <v>2.6586423434629025</v>
      </c>
      <c r="DB110" s="9">
        <v>2.1832247937966915</v>
      </c>
      <c r="DC110" s="9">
        <v>2.0315294471543037</v>
      </c>
      <c r="DD110" s="9">
        <v>1.9299375141406498</v>
      </c>
      <c r="DE110" s="9">
        <v>2.4990860511882564</v>
      </c>
      <c r="DF110" s="9">
        <v>4.5206311048482286</v>
      </c>
      <c r="DG110" s="9">
        <v>5.1769487454089651</v>
      </c>
      <c r="DH110" s="9">
        <v>3.8559317950969714</v>
      </c>
      <c r="DI110" s="9">
        <v>3.1440682049030277</v>
      </c>
      <c r="DJ110" s="9"/>
      <c r="DK110" s="9">
        <v>22</v>
      </c>
      <c r="DL110" s="9">
        <v>22</v>
      </c>
      <c r="DM110" s="9">
        <v>21</v>
      </c>
      <c r="DN110" s="9">
        <v>21</v>
      </c>
      <c r="DO110" s="9">
        <v>7</v>
      </c>
      <c r="DP110" s="9"/>
      <c r="DQ110" s="9">
        <v>93</v>
      </c>
      <c r="DR110" s="8">
        <f>+SUM(Tabla2[[#This Row],[1 gral]:[1 gral]])</f>
        <v>3.0120241283888518</v>
      </c>
      <c r="DS110" s="8">
        <f>+SUM(Tabla2[[#This Row],[1 temm]:[1 temm]])</f>
        <v>2.3406782937372603</v>
      </c>
      <c r="DT110" s="8">
        <f>+SUM(Tabla2[[#This Row],[1 porta]:[1 porta]])</f>
        <v>0.12059800083105997</v>
      </c>
      <c r="DU110" s="8">
        <f>+Tabla2[[#This Row],[GRAL]]-(Tabla2[[#This Row],[TEMM14]]+Tabla2[[#This Row],[PORTA15]])</f>
        <v>0.55074783382053161</v>
      </c>
    </row>
    <row r="111" spans="1:125" x14ac:dyDescent="0.2">
      <c r="A111" s="84" t="s">
        <v>99</v>
      </c>
      <c r="B111" s="84" t="s">
        <v>482</v>
      </c>
      <c r="C111" s="11" t="s">
        <v>127</v>
      </c>
      <c r="D111" s="11">
        <v>209003840</v>
      </c>
      <c r="E111" s="11" t="s">
        <v>323</v>
      </c>
      <c r="F111" s="11" t="s">
        <v>309</v>
      </c>
      <c r="G111" s="43" t="s">
        <v>282</v>
      </c>
      <c r="H111" s="10">
        <v>0.12059800083105997</v>
      </c>
      <c r="I111" s="10">
        <v>0.16789847649467127</v>
      </c>
      <c r="J111" s="10">
        <v>0.1562207193579257</v>
      </c>
      <c r="K111" s="10">
        <v>0.15006952754027642</v>
      </c>
      <c r="L111" s="10">
        <v>0.16374086192033718</v>
      </c>
      <c r="M111" s="10">
        <v>0.14743099948912008</v>
      </c>
      <c r="N111" s="10">
        <v>9.4041414366609274E-2</v>
      </c>
      <c r="O111" s="10">
        <v>0.13456875821488182</v>
      </c>
      <c r="P111" s="10">
        <v>0.15707930258261715</v>
      </c>
      <c r="Q111" s="10">
        <v>0.1366666184667969</v>
      </c>
      <c r="R111" s="10">
        <v>0.15251213813195408</v>
      </c>
      <c r="S111" s="10">
        <v>0.16144595225895933</v>
      </c>
      <c r="T111" s="10">
        <v>0.17017767644203829</v>
      </c>
      <c r="U111" s="10">
        <v>8.7549553902752458E-2</v>
      </c>
      <c r="V111" s="10">
        <v>0.13996353763244257</v>
      </c>
      <c r="W111" s="10">
        <v>0.16408049301484401</v>
      </c>
      <c r="X111" s="10">
        <v>0.14972686275640418</v>
      </c>
      <c r="Y111" s="10">
        <v>0.1463085242518728</v>
      </c>
      <c r="Z111" s="10">
        <v>0.15374768661164634</v>
      </c>
      <c r="AA111" s="10">
        <v>0.16100337430944414</v>
      </c>
      <c r="AB111" s="10">
        <v>8.5169521423346065E-2</v>
      </c>
      <c r="AC111" s="10">
        <v>0.14462106218700971</v>
      </c>
      <c r="AD111" s="10">
        <v>0.15927880292158872</v>
      </c>
      <c r="AE111" s="10">
        <v>0.15323481470929368</v>
      </c>
      <c r="AF111" s="10">
        <v>0.13729451948603222</v>
      </c>
      <c r="AG111" s="10">
        <v>0.15608969598895889</v>
      </c>
      <c r="AH111" s="10">
        <v>0.163037646001296</v>
      </c>
      <c r="AI111" s="10">
        <v>8.6443458705820736E-2</v>
      </c>
      <c r="AJ111" s="10">
        <v>0.49060673664580357</v>
      </c>
      <c r="AK111" s="10">
        <v>0.50939326335419632</v>
      </c>
      <c r="AL111" s="10">
        <v>0</v>
      </c>
      <c r="AM111" s="6">
        <v>1</v>
      </c>
      <c r="AN111" s="8">
        <v>1</v>
      </c>
      <c r="AO111" s="8">
        <v>1</v>
      </c>
      <c r="AP111" s="8">
        <v>1</v>
      </c>
      <c r="AQ111" s="8">
        <v>1</v>
      </c>
      <c r="AR111" s="8">
        <v>0</v>
      </c>
      <c r="AS111" s="87">
        <v>5</v>
      </c>
      <c r="AT111" s="8">
        <v>0.41306087536539887</v>
      </c>
      <c r="AU111" s="8">
        <v>0.33361343227590967</v>
      </c>
      <c r="AV111" s="8">
        <v>0.31375676688360443</v>
      </c>
      <c r="AW111" s="8">
        <v>0.30745277387146175</v>
      </c>
      <c r="AX111" s="8">
        <v>0.35141061655187228</v>
      </c>
      <c r="AY111" s="8">
        <v>0.54570924270062171</v>
      </c>
      <c r="AZ111" s="8">
        <v>0.73499629235113151</v>
      </c>
      <c r="BA111" s="8">
        <v>0.36800060538519513</v>
      </c>
      <c r="BB111" s="8">
        <v>0.30217984429822414</v>
      </c>
      <c r="BC111" s="8">
        <v>0.27531235746406996</v>
      </c>
      <c r="BD111" s="8">
        <v>0.27041271803479633</v>
      </c>
      <c r="BE111" s="8">
        <v>0.37240775916293356</v>
      </c>
      <c r="BF111" s="8">
        <v>0.61663791137829294</v>
      </c>
      <c r="BG111" s="8">
        <v>0.79504880427648805</v>
      </c>
      <c r="BH111" s="8">
        <v>0.42831040348840366</v>
      </c>
      <c r="BI111" s="8">
        <v>0.33188960849475196</v>
      </c>
      <c r="BJ111" s="8">
        <v>0.29781869139617406</v>
      </c>
      <c r="BK111" s="8">
        <v>0.27647695155517338</v>
      </c>
      <c r="BL111" s="8">
        <v>0.33830059241092231</v>
      </c>
      <c r="BM111" s="8">
        <v>0.61486580956568071</v>
      </c>
      <c r="BN111" s="8">
        <v>0.71233794308889409</v>
      </c>
      <c r="BO111" s="8">
        <v>0.37710319219138388</v>
      </c>
      <c r="BP111" s="8">
        <v>0.30359189863126546</v>
      </c>
      <c r="BQ111" s="8">
        <v>0.28174419486675151</v>
      </c>
      <c r="BR111" s="8">
        <v>0.26889644919819267</v>
      </c>
      <c r="BS111" s="8">
        <v>0.35144945327989457</v>
      </c>
      <c r="BT111" s="8">
        <v>0.65363901882703979</v>
      </c>
      <c r="BU111" s="8">
        <v>0.76357579300547163</v>
      </c>
      <c r="BV111" s="8">
        <v>1.1016947985991348</v>
      </c>
      <c r="BW111" s="8">
        <v>0.89830520140086512</v>
      </c>
      <c r="BX111" s="8">
        <v>0</v>
      </c>
      <c r="BY111" s="8">
        <v>3</v>
      </c>
      <c r="BZ111" s="8">
        <v>3</v>
      </c>
      <c r="CA111" s="8">
        <v>3</v>
      </c>
      <c r="CB111" s="8">
        <v>3</v>
      </c>
      <c r="CC111" s="8">
        <v>2</v>
      </c>
      <c r="CD111" s="8">
        <v>0</v>
      </c>
      <c r="CE111" s="8">
        <v>14</v>
      </c>
      <c r="CF111" s="9">
        <v>0.94671975156185773</v>
      </c>
      <c r="CG111" s="9">
        <v>0.83512534104649061</v>
      </c>
      <c r="CH111" s="9">
        <v>0.78373425312513456</v>
      </c>
      <c r="CI111" s="9">
        <v>0.76497507528319986</v>
      </c>
      <c r="CJ111" s="9">
        <v>0.86656209502408177</v>
      </c>
      <c r="CK111" s="9">
        <v>1.2388494848903635</v>
      </c>
      <c r="CL111" s="9">
        <v>1.5640339990688723</v>
      </c>
      <c r="CM111" s="9">
        <v>0.87056996898527217</v>
      </c>
      <c r="CN111" s="9">
        <v>0.76143899117906544</v>
      </c>
      <c r="CO111" s="9">
        <v>0.68729133339493687</v>
      </c>
      <c r="CP111" s="9">
        <v>0.69333757420154674</v>
      </c>
      <c r="CQ111" s="9">
        <v>0.90626147058482642</v>
      </c>
      <c r="CR111" s="9">
        <v>1.4034534991986241</v>
      </c>
      <c r="CS111" s="9">
        <v>1.6776471624557285</v>
      </c>
      <c r="CT111" s="9">
        <v>0.99658434460924983</v>
      </c>
      <c r="CU111" s="9">
        <v>0.82785971000434788</v>
      </c>
      <c r="CV111" s="9">
        <v>0.74536424554875236</v>
      </c>
      <c r="CW111" s="9">
        <v>0.69926242736221955</v>
      </c>
      <c r="CX111" s="9">
        <v>0.83034887143349101</v>
      </c>
      <c r="CY111" s="9">
        <v>1.3907349934408055</v>
      </c>
      <c r="CZ111" s="9">
        <v>1.5098454076011343</v>
      </c>
      <c r="DA111" s="9">
        <v>0.77312638250598287</v>
      </c>
      <c r="DB111" s="9">
        <v>0.66526530064036438</v>
      </c>
      <c r="DC111" s="9">
        <v>0.62280847282054619</v>
      </c>
      <c r="DD111" s="9">
        <v>0.58545526814968663</v>
      </c>
      <c r="DE111" s="9">
        <v>0.74183878478878318</v>
      </c>
      <c r="DF111" s="9">
        <v>1.252436010713029</v>
      </c>
      <c r="DG111" s="9">
        <v>1.3590697803816068</v>
      </c>
      <c r="DH111" s="9">
        <v>1.5923015352449383</v>
      </c>
      <c r="DI111" s="9">
        <v>1.4076984647550614</v>
      </c>
      <c r="DJ111" s="9"/>
      <c r="DK111" s="9">
        <v>7</v>
      </c>
      <c r="DL111" s="9">
        <v>7</v>
      </c>
      <c r="DM111" s="9">
        <v>7</v>
      </c>
      <c r="DN111" s="9">
        <v>6</v>
      </c>
      <c r="DO111" s="9">
        <v>3</v>
      </c>
      <c r="DP111" s="9"/>
      <c r="DQ111" s="9">
        <v>30</v>
      </c>
      <c r="DR111" s="8">
        <f>+SUM(Tabla2[[#This Row],[1 gral]:[1 gral]])</f>
        <v>0.94671975156185773</v>
      </c>
      <c r="DS111" s="8">
        <f>+SUM(Tabla2[[#This Row],[1 temm]:[1 temm]])</f>
        <v>0.41306087536539887</v>
      </c>
      <c r="DT111" s="8">
        <f>+SUM(Tabla2[[#This Row],[1 porta]:[1 porta]])</f>
        <v>0.12059800083105997</v>
      </c>
      <c r="DU111" s="8">
        <f>+Tabla2[[#This Row],[GRAL]]-(Tabla2[[#This Row],[TEMM14]]+Tabla2[[#This Row],[PORTA15]])</f>
        <v>0.41306087536539893</v>
      </c>
    </row>
    <row r="112" spans="1:125" hidden="1" x14ac:dyDescent="0.2">
      <c r="A112" s="84" t="s">
        <v>455</v>
      </c>
      <c r="B112" s="84" t="s">
        <v>483</v>
      </c>
      <c r="C112" s="11" t="s">
        <v>452</v>
      </c>
      <c r="D112" s="11">
        <v>209003847</v>
      </c>
      <c r="E112" s="11" t="s">
        <v>449</v>
      </c>
      <c r="F112" s="11" t="s">
        <v>460</v>
      </c>
      <c r="G112" s="43" t="s">
        <v>281</v>
      </c>
      <c r="H112" s="10">
        <v>0.12059800083105997</v>
      </c>
      <c r="I112" s="10">
        <v>0.16789847649467127</v>
      </c>
      <c r="J112" s="10">
        <v>0.1562207193579257</v>
      </c>
      <c r="K112" s="10">
        <v>0.15006952754027642</v>
      </c>
      <c r="L112" s="10">
        <v>0.16374086192033718</v>
      </c>
      <c r="M112" s="10">
        <v>0.14743099948912008</v>
      </c>
      <c r="N112" s="10">
        <v>9.4041414366609274E-2</v>
      </c>
      <c r="O112" s="10">
        <v>0.13456875821488182</v>
      </c>
      <c r="P112" s="10">
        <v>0.15707930258261715</v>
      </c>
      <c r="Q112" s="10">
        <v>0.1366666184667969</v>
      </c>
      <c r="R112" s="10">
        <v>0.15251213813195408</v>
      </c>
      <c r="S112" s="10">
        <v>0.16144595225895933</v>
      </c>
      <c r="T112" s="10">
        <v>0.17017767644203829</v>
      </c>
      <c r="U112" s="10">
        <v>8.7549553902752458E-2</v>
      </c>
      <c r="V112" s="10">
        <v>0.13996353763244257</v>
      </c>
      <c r="W112" s="10">
        <v>0.16408049301484401</v>
      </c>
      <c r="X112" s="10">
        <v>0.14972686275640418</v>
      </c>
      <c r="Y112" s="10">
        <v>0.1463085242518728</v>
      </c>
      <c r="Z112" s="10">
        <v>0.15374768661164634</v>
      </c>
      <c r="AA112" s="10">
        <v>0.16100337430944414</v>
      </c>
      <c r="AB112" s="10">
        <v>8.5169521423346065E-2</v>
      </c>
      <c r="AC112" s="10">
        <v>0.14462106218700971</v>
      </c>
      <c r="AD112" s="10">
        <v>0.15927880292158872</v>
      </c>
      <c r="AE112" s="10">
        <v>0.15323481470929368</v>
      </c>
      <c r="AF112" s="10">
        <v>0.13729451948603222</v>
      </c>
      <c r="AG112" s="10">
        <v>0.15608969598895889</v>
      </c>
      <c r="AH112" s="10">
        <v>0.163037646001296</v>
      </c>
      <c r="AI112" s="10">
        <v>8.6443458705820736E-2</v>
      </c>
      <c r="AJ112" s="10">
        <v>0</v>
      </c>
      <c r="AK112" s="10">
        <v>0</v>
      </c>
      <c r="AL112" s="10">
        <v>0</v>
      </c>
      <c r="AM112" s="6">
        <v>1</v>
      </c>
      <c r="AN112" s="8">
        <v>1</v>
      </c>
      <c r="AO112" s="8">
        <v>1</v>
      </c>
      <c r="AP112" s="8">
        <v>1</v>
      </c>
      <c r="AQ112" s="8">
        <v>0</v>
      </c>
      <c r="AR112" s="8">
        <v>0</v>
      </c>
      <c r="AS112" s="64">
        <v>4</v>
      </c>
      <c r="AT112" s="8">
        <v>0.27537391691026591</v>
      </c>
      <c r="AU112" s="8">
        <v>0.22240895485060647</v>
      </c>
      <c r="AV112" s="8">
        <v>0.20917117792240295</v>
      </c>
      <c r="AW112" s="8">
        <v>0.20496851591430781</v>
      </c>
      <c r="AX112" s="8">
        <v>0.23427374436791484</v>
      </c>
      <c r="AY112" s="8">
        <v>0.36380616180041447</v>
      </c>
      <c r="AZ112" s="8">
        <v>0.48999752823408771</v>
      </c>
      <c r="BA112" s="8">
        <v>0.24533373692346341</v>
      </c>
      <c r="BB112" s="8">
        <v>0.20145322953214942</v>
      </c>
      <c r="BC112" s="8">
        <v>0.18354157164271331</v>
      </c>
      <c r="BD112" s="8">
        <v>0.18027514535653089</v>
      </c>
      <c r="BE112" s="8">
        <v>0.24827183944195569</v>
      </c>
      <c r="BF112" s="8">
        <v>0.41109194091886198</v>
      </c>
      <c r="BG112" s="8">
        <v>0.53003253618432533</v>
      </c>
      <c r="BH112" s="8">
        <v>0.28554026899226909</v>
      </c>
      <c r="BI112" s="8">
        <v>0.22125973899650131</v>
      </c>
      <c r="BJ112" s="8">
        <v>0.19854579426411603</v>
      </c>
      <c r="BK112" s="8">
        <v>0.18431796770344891</v>
      </c>
      <c r="BL112" s="8">
        <v>0.22553372827394821</v>
      </c>
      <c r="BM112" s="8">
        <v>0.40991053971045383</v>
      </c>
      <c r="BN112" s="8">
        <v>0.47489196205926271</v>
      </c>
      <c r="BO112" s="8">
        <v>0.25140212812758927</v>
      </c>
      <c r="BP112" s="8">
        <v>0.20239459908751029</v>
      </c>
      <c r="BQ112" s="8">
        <v>0.187829463244501</v>
      </c>
      <c r="BR112" s="8">
        <v>0.17926429946546177</v>
      </c>
      <c r="BS112" s="8">
        <v>0.23429963551992972</v>
      </c>
      <c r="BT112" s="8">
        <v>0.43575934588469323</v>
      </c>
      <c r="BU112" s="8">
        <v>0.50905052867031442</v>
      </c>
      <c r="BV112" s="8">
        <v>-0.55084739929956739</v>
      </c>
      <c r="BW112" s="8">
        <v>-0.44915260070043256</v>
      </c>
      <c r="BX112" s="8">
        <v>0</v>
      </c>
      <c r="BY112" s="8">
        <v>2</v>
      </c>
      <c r="BZ112" s="8">
        <v>2</v>
      </c>
      <c r="CA112" s="8">
        <v>2</v>
      </c>
      <c r="CB112" s="8">
        <v>2</v>
      </c>
      <c r="CC112" s="8">
        <v>-1</v>
      </c>
      <c r="CD112" s="8">
        <v>0</v>
      </c>
      <c r="CE112" s="8">
        <v>7</v>
      </c>
      <c r="CF112" s="9">
        <v>1.3597806269272565</v>
      </c>
      <c r="CG112" s="9">
        <v>1.1687387733224004</v>
      </c>
      <c r="CH112" s="9">
        <v>1.0974910200087389</v>
      </c>
      <c r="CI112" s="9">
        <v>1.0724278491546615</v>
      </c>
      <c r="CJ112" s="9">
        <v>1.217972711575954</v>
      </c>
      <c r="CK112" s="9">
        <v>1.7845587275909853</v>
      </c>
      <c r="CL112" s="9">
        <v>2.2990302914200038</v>
      </c>
      <c r="CM112" s="9">
        <v>1.2385705743704671</v>
      </c>
      <c r="CN112" s="9">
        <v>1.0636188354772895</v>
      </c>
      <c r="CO112" s="9">
        <v>0.96260369085900677</v>
      </c>
      <c r="CP112" s="9">
        <v>0.96375029223634312</v>
      </c>
      <c r="CQ112" s="9">
        <v>1.27866922974776</v>
      </c>
      <c r="CR112" s="9">
        <v>2.0200914105769172</v>
      </c>
      <c r="CS112" s="9">
        <v>2.4726959667322164</v>
      </c>
      <c r="CT112" s="9">
        <v>1.4248947480976535</v>
      </c>
      <c r="CU112" s="9">
        <v>1.1597493184990999</v>
      </c>
      <c r="CV112" s="9">
        <v>1.0431829369449264</v>
      </c>
      <c r="CW112" s="9">
        <v>0.97573937891739282</v>
      </c>
      <c r="CX112" s="9">
        <v>1.1686494638444134</v>
      </c>
      <c r="CY112" s="9">
        <v>2.0056008030064865</v>
      </c>
      <c r="CZ112" s="9">
        <v>2.2221833506900284</v>
      </c>
      <c r="DA112" s="9">
        <v>1.2759306387611615</v>
      </c>
      <c r="DB112" s="9">
        <v>1.0700544988153851</v>
      </c>
      <c r="DC112" s="9">
        <v>0.9984673993095482</v>
      </c>
      <c r="DD112" s="9">
        <v>0.94398386708061011</v>
      </c>
      <c r="DE112" s="9">
        <v>1.2104380558286427</v>
      </c>
      <c r="DF112" s="9">
        <v>2.1239547024824157</v>
      </c>
      <c r="DG112" s="9">
        <v>2.3771708377222356</v>
      </c>
      <c r="DH112" s="9">
        <v>0.55084739929956739</v>
      </c>
      <c r="DI112" s="9">
        <v>0.44915260070043256</v>
      </c>
      <c r="DJ112" s="9"/>
      <c r="DK112" s="9">
        <v>10</v>
      </c>
      <c r="DL112" s="9">
        <v>10</v>
      </c>
      <c r="DM112" s="9">
        <v>10</v>
      </c>
      <c r="DN112" s="9">
        <v>10</v>
      </c>
      <c r="DO112" s="9">
        <v>1</v>
      </c>
      <c r="DP112" s="9"/>
      <c r="DQ112" s="9">
        <v>41</v>
      </c>
      <c r="DR112" s="8">
        <f>+SUM(Tabla2[[#This Row],[1 gral]:[1 gral]])</f>
        <v>1.3597806269272565</v>
      </c>
      <c r="DS112" s="8">
        <f>+SUM(Tabla2[[#This Row],[1 temm]:[1 temm]])</f>
        <v>0.27537391691026591</v>
      </c>
      <c r="DT112" s="8">
        <f>+SUM(Tabla2[[#This Row],[1 porta]:[1 porta]])</f>
        <v>0.12059800083105997</v>
      </c>
      <c r="DU112" s="8">
        <f>+Tabla2[[#This Row],[GRAL]]-(Tabla2[[#This Row],[TEMM14]]+Tabla2[[#This Row],[PORTA15]])</f>
        <v>0.96380870918593065</v>
      </c>
    </row>
  </sheetData>
  <mergeCells count="1">
    <mergeCell ref="DR2:DU3"/>
  </mergeCells>
  <phoneticPr fontId="4" type="noConversion"/>
  <conditionalFormatting sqref="H2:AL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T2:BX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F2:DJ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7519-C465-46C1-B17A-042EA2991AD9}">
  <dimension ref="A1:AI326"/>
  <sheetViews>
    <sheetView showGridLines="0" zoomScale="70" zoomScaleNormal="70" workbookViewId="0">
      <selection activeCell="F9" sqref="F9:F14"/>
    </sheetView>
  </sheetViews>
  <sheetFormatPr defaultColWidth="10.76171875" defaultRowHeight="15" x14ac:dyDescent="0.2"/>
  <cols>
    <col min="1" max="1" width="14.52734375" bestFit="1" customWidth="1"/>
    <col min="2" max="2" width="38.875" bestFit="1" customWidth="1"/>
    <col min="3" max="3" width="32.8203125" bestFit="1" customWidth="1"/>
    <col min="4" max="4" width="14.52734375" customWidth="1"/>
  </cols>
  <sheetData>
    <row r="1" spans="1:35" ht="33.6" customHeight="1" x14ac:dyDescent="0.2">
      <c r="A1" s="99" t="s">
        <v>352</v>
      </c>
      <c r="E1" s="65">
        <f>+SUBTOTAL(9,E3:E108)</f>
        <v>0</v>
      </c>
      <c r="F1" s="65">
        <f t="shared" ref="F1:AI1" si="0">+SUBTOTAL(9,F3:F108)</f>
        <v>0</v>
      </c>
      <c r="G1" s="65">
        <f t="shared" si="0"/>
        <v>0</v>
      </c>
      <c r="H1" s="65">
        <f t="shared" si="0"/>
        <v>0</v>
      </c>
      <c r="I1" s="65">
        <f t="shared" si="0"/>
        <v>0</v>
      </c>
      <c r="J1" s="65">
        <f t="shared" si="0"/>
        <v>0</v>
      </c>
      <c r="K1" s="65">
        <f t="shared" si="0"/>
        <v>0</v>
      </c>
      <c r="L1" s="65">
        <f t="shared" si="0"/>
        <v>0</v>
      </c>
      <c r="M1" s="65">
        <f t="shared" si="0"/>
        <v>0</v>
      </c>
      <c r="N1" s="65">
        <f t="shared" si="0"/>
        <v>0</v>
      </c>
      <c r="O1" s="65">
        <f t="shared" si="0"/>
        <v>0</v>
      </c>
      <c r="P1" s="65">
        <f t="shared" si="0"/>
        <v>0</v>
      </c>
      <c r="Q1" s="65">
        <f t="shared" si="0"/>
        <v>0</v>
      </c>
      <c r="R1" s="65">
        <f t="shared" si="0"/>
        <v>0</v>
      </c>
      <c r="S1" s="65">
        <f t="shared" si="0"/>
        <v>0</v>
      </c>
      <c r="T1" s="65">
        <f t="shared" si="0"/>
        <v>0</v>
      </c>
      <c r="U1" s="65">
        <f t="shared" si="0"/>
        <v>0</v>
      </c>
      <c r="V1" s="65">
        <f t="shared" si="0"/>
        <v>0</v>
      </c>
      <c r="W1" s="65">
        <f t="shared" si="0"/>
        <v>0</v>
      </c>
      <c r="X1" s="65">
        <f t="shared" si="0"/>
        <v>0</v>
      </c>
      <c r="Y1" s="65">
        <f t="shared" si="0"/>
        <v>0</v>
      </c>
      <c r="Z1" s="65">
        <f t="shared" si="0"/>
        <v>0</v>
      </c>
      <c r="AA1" s="65">
        <f t="shared" si="0"/>
        <v>0</v>
      </c>
      <c r="AB1" s="65">
        <f t="shared" si="0"/>
        <v>0</v>
      </c>
      <c r="AC1" s="65">
        <f t="shared" si="0"/>
        <v>0</v>
      </c>
      <c r="AD1" s="65">
        <f t="shared" si="0"/>
        <v>0</v>
      </c>
      <c r="AE1" s="65">
        <f t="shared" si="0"/>
        <v>0</v>
      </c>
      <c r="AF1" s="65">
        <f t="shared" si="0"/>
        <v>0</v>
      </c>
      <c r="AG1" s="65">
        <f t="shared" si="0"/>
        <v>0</v>
      </c>
      <c r="AH1" s="65">
        <f t="shared" si="0"/>
        <v>0</v>
      </c>
      <c r="AI1" s="65">
        <f t="shared" si="0"/>
        <v>0</v>
      </c>
    </row>
    <row r="2" spans="1:35" x14ac:dyDescent="0.2">
      <c r="A2" s="62" t="s">
        <v>352</v>
      </c>
      <c r="B2" s="62" t="s">
        <v>353</v>
      </c>
      <c r="C2" s="62" t="s">
        <v>122</v>
      </c>
      <c r="D2" s="62" t="s">
        <v>4</v>
      </c>
      <c r="E2" s="63">
        <v>1</v>
      </c>
      <c r="F2" s="63">
        <v>2</v>
      </c>
      <c r="G2" s="63">
        <v>3</v>
      </c>
      <c r="H2" s="63">
        <v>4</v>
      </c>
      <c r="I2" s="63">
        <v>5</v>
      </c>
      <c r="J2" s="63">
        <v>6</v>
      </c>
      <c r="K2" s="63">
        <v>7</v>
      </c>
      <c r="L2" s="63">
        <v>8</v>
      </c>
      <c r="M2" s="63">
        <v>9</v>
      </c>
      <c r="N2" s="63">
        <v>10</v>
      </c>
      <c r="O2" s="63">
        <v>11</v>
      </c>
      <c r="P2" s="63">
        <v>12</v>
      </c>
      <c r="Q2" s="63">
        <v>13</v>
      </c>
      <c r="R2" s="63">
        <v>14</v>
      </c>
      <c r="S2" s="63">
        <v>15</v>
      </c>
      <c r="T2" s="63">
        <v>16</v>
      </c>
      <c r="U2" s="63">
        <v>17</v>
      </c>
      <c r="V2" s="63">
        <v>18</v>
      </c>
      <c r="W2" s="63">
        <v>19</v>
      </c>
      <c r="X2" s="63">
        <v>20</v>
      </c>
      <c r="Y2" s="63">
        <v>21</v>
      </c>
      <c r="Z2" s="63">
        <v>22</v>
      </c>
      <c r="AA2" s="63">
        <v>23</v>
      </c>
      <c r="AB2" s="63">
        <v>24</v>
      </c>
      <c r="AC2" s="63">
        <v>25</v>
      </c>
      <c r="AD2" s="63">
        <v>26</v>
      </c>
      <c r="AE2" s="63">
        <v>27</v>
      </c>
      <c r="AF2" s="63">
        <v>28</v>
      </c>
      <c r="AG2" s="79">
        <v>29</v>
      </c>
      <c r="AH2" s="79">
        <v>30</v>
      </c>
      <c r="AI2" s="63">
        <v>31</v>
      </c>
    </row>
    <row r="3" spans="1:35" x14ac:dyDescent="0.2">
      <c r="A3" s="91">
        <v>2090171</v>
      </c>
      <c r="B3" s="91" t="s">
        <v>18</v>
      </c>
      <c r="C3" t="s">
        <v>125</v>
      </c>
      <c r="D3" s="88" t="s">
        <v>280</v>
      </c>
    </row>
    <row r="4" spans="1:35" x14ac:dyDescent="0.2">
      <c r="A4" s="91">
        <v>2090172</v>
      </c>
      <c r="B4" s="91" t="s">
        <v>19</v>
      </c>
      <c r="C4" t="s">
        <v>126</v>
      </c>
      <c r="D4" s="88" t="s">
        <v>280</v>
      </c>
    </row>
    <row r="5" spans="1:35" x14ac:dyDescent="0.2">
      <c r="A5" s="91">
        <v>2090173</v>
      </c>
      <c r="B5" s="91" t="s">
        <v>388</v>
      </c>
      <c r="C5" t="s">
        <v>450</v>
      </c>
      <c r="D5" s="88" t="s">
        <v>280</v>
      </c>
    </row>
    <row r="6" spans="1:35" x14ac:dyDescent="0.2">
      <c r="A6" s="91">
        <v>2090174</v>
      </c>
      <c r="B6" s="91" t="s">
        <v>389</v>
      </c>
      <c r="C6" t="s">
        <v>451</v>
      </c>
      <c r="D6" s="88" t="s">
        <v>280</v>
      </c>
    </row>
    <row r="7" spans="1:35" x14ac:dyDescent="0.2">
      <c r="A7" s="91">
        <v>2090175</v>
      </c>
      <c r="B7" s="91" t="s">
        <v>390</v>
      </c>
      <c r="C7" t="s">
        <v>451</v>
      </c>
      <c r="D7" s="88" t="s">
        <v>280</v>
      </c>
    </row>
    <row r="8" spans="1:35" x14ac:dyDescent="0.2">
      <c r="A8" s="91">
        <v>2090176</v>
      </c>
      <c r="B8" s="91" t="s">
        <v>391</v>
      </c>
      <c r="C8" t="s">
        <v>451</v>
      </c>
      <c r="D8" s="88" t="s">
        <v>280</v>
      </c>
    </row>
    <row r="9" spans="1:35" x14ac:dyDescent="0.2">
      <c r="A9" s="91">
        <v>2090552</v>
      </c>
      <c r="B9" s="91" t="s">
        <v>392</v>
      </c>
      <c r="C9" t="s">
        <v>452</v>
      </c>
      <c r="D9" s="88" t="s">
        <v>282</v>
      </c>
    </row>
    <row r="10" spans="1:35" x14ac:dyDescent="0.2">
      <c r="A10" s="91">
        <v>2090559</v>
      </c>
      <c r="B10" s="91" t="s">
        <v>393</v>
      </c>
      <c r="C10" t="s">
        <v>451</v>
      </c>
      <c r="D10" s="88" t="s">
        <v>282</v>
      </c>
    </row>
    <row r="11" spans="1:35" x14ac:dyDescent="0.2">
      <c r="A11" s="91">
        <v>2090618</v>
      </c>
      <c r="B11" s="91" t="s">
        <v>20</v>
      </c>
      <c r="C11" t="s">
        <v>126</v>
      </c>
      <c r="D11" s="88" t="s">
        <v>280</v>
      </c>
    </row>
    <row r="12" spans="1:35" x14ac:dyDescent="0.2">
      <c r="A12" s="91">
        <v>2090742</v>
      </c>
      <c r="B12" s="91" t="s">
        <v>394</v>
      </c>
      <c r="C12" t="s">
        <v>450</v>
      </c>
      <c r="D12" s="88" t="s">
        <v>280</v>
      </c>
    </row>
    <row r="13" spans="1:35" x14ac:dyDescent="0.2">
      <c r="A13" s="91">
        <v>2090749</v>
      </c>
      <c r="B13" s="91" t="s">
        <v>22</v>
      </c>
      <c r="C13" t="s">
        <v>126</v>
      </c>
      <c r="D13" s="88" t="s">
        <v>280</v>
      </c>
    </row>
    <row r="14" spans="1:35" x14ac:dyDescent="0.2">
      <c r="A14" s="91">
        <v>2090826</v>
      </c>
      <c r="B14" s="91" t="s">
        <v>395</v>
      </c>
      <c r="C14" t="s">
        <v>450</v>
      </c>
      <c r="D14" s="88" t="s">
        <v>280</v>
      </c>
    </row>
    <row r="15" spans="1:35" x14ac:dyDescent="0.2">
      <c r="A15" s="91">
        <v>2090839</v>
      </c>
      <c r="B15" s="91" t="s">
        <v>6</v>
      </c>
      <c r="C15" t="s">
        <v>125</v>
      </c>
      <c r="D15" s="88" t="s">
        <v>280</v>
      </c>
    </row>
    <row r="16" spans="1:35" x14ac:dyDescent="0.2">
      <c r="A16" s="91">
        <v>2090872</v>
      </c>
      <c r="B16" s="91" t="s">
        <v>24</v>
      </c>
      <c r="C16" t="s">
        <v>125</v>
      </c>
      <c r="D16" s="88" t="s">
        <v>280</v>
      </c>
    </row>
    <row r="17" spans="1:4" x14ac:dyDescent="0.2">
      <c r="A17" s="91">
        <v>2090875</v>
      </c>
      <c r="B17" s="91" t="s">
        <v>396</v>
      </c>
      <c r="C17" t="s">
        <v>453</v>
      </c>
      <c r="D17" s="88" t="s">
        <v>280</v>
      </c>
    </row>
    <row r="18" spans="1:4" x14ac:dyDescent="0.2">
      <c r="A18" s="91">
        <v>2090892</v>
      </c>
      <c r="B18" s="91" t="s">
        <v>397</v>
      </c>
      <c r="C18" t="s">
        <v>451</v>
      </c>
      <c r="D18" s="88" t="s">
        <v>280</v>
      </c>
    </row>
    <row r="19" spans="1:4" x14ac:dyDescent="0.2">
      <c r="A19" s="91">
        <v>2090893</v>
      </c>
      <c r="B19" s="91" t="s">
        <v>398</v>
      </c>
      <c r="C19" t="s">
        <v>451</v>
      </c>
      <c r="D19" s="88" t="s">
        <v>280</v>
      </c>
    </row>
    <row r="20" spans="1:4" x14ac:dyDescent="0.2">
      <c r="A20" s="91">
        <v>2090912</v>
      </c>
      <c r="B20" s="91" t="s">
        <v>25</v>
      </c>
      <c r="C20" t="s">
        <v>127</v>
      </c>
      <c r="D20" s="88" t="s">
        <v>280</v>
      </c>
    </row>
    <row r="21" spans="1:4" x14ac:dyDescent="0.2">
      <c r="A21" s="91">
        <v>2090913</v>
      </c>
      <c r="B21" s="91" t="s">
        <v>26</v>
      </c>
      <c r="C21" t="s">
        <v>125</v>
      </c>
      <c r="D21" s="88" t="s">
        <v>280</v>
      </c>
    </row>
    <row r="22" spans="1:4" x14ac:dyDescent="0.2">
      <c r="A22" s="91">
        <v>2090932</v>
      </c>
      <c r="B22" s="91" t="s">
        <v>27</v>
      </c>
      <c r="C22" t="s">
        <v>125</v>
      </c>
      <c r="D22" s="88" t="s">
        <v>281</v>
      </c>
    </row>
    <row r="23" spans="1:4" x14ac:dyDescent="0.2">
      <c r="A23" s="91">
        <v>2090937</v>
      </c>
      <c r="B23" s="91" t="s">
        <v>29</v>
      </c>
      <c r="C23" t="s">
        <v>127</v>
      </c>
      <c r="D23" s="88" t="s">
        <v>280</v>
      </c>
    </row>
    <row r="24" spans="1:4" x14ac:dyDescent="0.2">
      <c r="A24" s="91">
        <v>2090947</v>
      </c>
      <c r="B24" s="91" t="s">
        <v>30</v>
      </c>
      <c r="C24" t="s">
        <v>127</v>
      </c>
      <c r="D24" s="88" t="s">
        <v>280</v>
      </c>
    </row>
    <row r="25" spans="1:4" x14ac:dyDescent="0.2">
      <c r="A25" s="91">
        <v>2090997</v>
      </c>
      <c r="B25" s="91" t="s">
        <v>31</v>
      </c>
      <c r="C25" t="s">
        <v>126</v>
      </c>
      <c r="D25" s="88" t="s">
        <v>280</v>
      </c>
    </row>
    <row r="26" spans="1:4" x14ac:dyDescent="0.2">
      <c r="A26" s="91">
        <v>2091007</v>
      </c>
      <c r="B26" s="91" t="s">
        <v>32</v>
      </c>
      <c r="C26" t="s">
        <v>125</v>
      </c>
      <c r="D26" s="88" t="s">
        <v>280</v>
      </c>
    </row>
    <row r="27" spans="1:4" x14ac:dyDescent="0.2">
      <c r="A27" s="91">
        <v>2091016</v>
      </c>
      <c r="B27" s="91" t="s">
        <v>399</v>
      </c>
      <c r="C27" t="s">
        <v>452</v>
      </c>
      <c r="D27" s="88" t="s">
        <v>280</v>
      </c>
    </row>
    <row r="28" spans="1:4" x14ac:dyDescent="0.2">
      <c r="A28" s="91">
        <v>2091032</v>
      </c>
      <c r="B28" s="91" t="s">
        <v>400</v>
      </c>
      <c r="C28" t="s">
        <v>450</v>
      </c>
      <c r="D28" s="88" t="s">
        <v>280</v>
      </c>
    </row>
    <row r="29" spans="1:4" x14ac:dyDescent="0.2">
      <c r="A29" s="91">
        <v>2091046</v>
      </c>
      <c r="B29" s="91" t="s">
        <v>401</v>
      </c>
      <c r="C29" t="s">
        <v>452</v>
      </c>
      <c r="D29" s="88" t="s">
        <v>280</v>
      </c>
    </row>
    <row r="30" spans="1:4" x14ac:dyDescent="0.2">
      <c r="A30" s="91">
        <v>2091151</v>
      </c>
      <c r="B30" s="91" t="s">
        <v>402</v>
      </c>
      <c r="C30" t="s">
        <v>450</v>
      </c>
      <c r="D30" s="88" t="s">
        <v>280</v>
      </c>
    </row>
    <row r="31" spans="1:4" x14ac:dyDescent="0.2">
      <c r="A31" s="91">
        <v>2091192</v>
      </c>
      <c r="B31" s="91" t="s">
        <v>403</v>
      </c>
      <c r="C31" t="s">
        <v>451</v>
      </c>
      <c r="D31" s="88" t="s">
        <v>281</v>
      </c>
    </row>
    <row r="32" spans="1:4" x14ac:dyDescent="0.2">
      <c r="A32" s="91">
        <v>2091194</v>
      </c>
      <c r="B32" s="91" t="s">
        <v>404</v>
      </c>
      <c r="C32" t="s">
        <v>450</v>
      </c>
      <c r="D32" s="88" t="s">
        <v>281</v>
      </c>
    </row>
    <row r="33" spans="1:35" x14ac:dyDescent="0.2">
      <c r="A33" s="91">
        <v>2091206</v>
      </c>
      <c r="B33" s="91" t="s">
        <v>405</v>
      </c>
      <c r="C33" t="s">
        <v>451</v>
      </c>
      <c r="D33" s="88" t="s">
        <v>281</v>
      </c>
    </row>
    <row r="34" spans="1:35" x14ac:dyDescent="0.2">
      <c r="A34" s="91">
        <v>2091207</v>
      </c>
      <c r="B34" s="91" t="s">
        <v>406</v>
      </c>
      <c r="C34" t="s">
        <v>453</v>
      </c>
      <c r="D34" s="88" t="s">
        <v>281</v>
      </c>
    </row>
    <row r="35" spans="1:35" x14ac:dyDescent="0.2">
      <c r="A35" s="91">
        <v>2091209</v>
      </c>
      <c r="B35" s="91" t="s">
        <v>407</v>
      </c>
      <c r="C35" t="s">
        <v>451</v>
      </c>
      <c r="D35" s="88" t="s">
        <v>281</v>
      </c>
    </row>
    <row r="36" spans="1:35" x14ac:dyDescent="0.2">
      <c r="A36" s="91">
        <v>2091238</v>
      </c>
      <c r="B36" s="91" t="s">
        <v>408</v>
      </c>
      <c r="C36" t="s">
        <v>452</v>
      </c>
      <c r="D36" s="88" t="s">
        <v>281</v>
      </c>
    </row>
    <row r="37" spans="1:35" x14ac:dyDescent="0.2">
      <c r="A37" s="91">
        <v>2091244</v>
      </c>
      <c r="B37" s="91" t="s">
        <v>409</v>
      </c>
      <c r="C37" t="s">
        <v>453</v>
      </c>
      <c r="D37" s="88" t="s">
        <v>281</v>
      </c>
    </row>
    <row r="38" spans="1:35" x14ac:dyDescent="0.2">
      <c r="A38" s="91">
        <v>2091372</v>
      </c>
      <c r="B38" s="91" t="s">
        <v>410</v>
      </c>
      <c r="C38" t="s">
        <v>452</v>
      </c>
      <c r="D38" s="88" t="s">
        <v>280</v>
      </c>
    </row>
    <row r="39" spans="1:35" x14ac:dyDescent="0.2">
      <c r="A39" s="91">
        <v>2091438</v>
      </c>
      <c r="B39" s="91" t="s">
        <v>33</v>
      </c>
      <c r="C39" t="s">
        <v>127</v>
      </c>
      <c r="D39" s="88" t="s">
        <v>280</v>
      </c>
    </row>
    <row r="40" spans="1:35" x14ac:dyDescent="0.2">
      <c r="A40" s="91">
        <v>2091496</v>
      </c>
      <c r="B40" s="91" t="s">
        <v>411</v>
      </c>
      <c r="C40" t="s">
        <v>450</v>
      </c>
      <c r="D40" s="88" t="s">
        <v>281</v>
      </c>
    </row>
    <row r="41" spans="1:35" x14ac:dyDescent="0.2">
      <c r="A41" s="91">
        <v>2091551</v>
      </c>
      <c r="B41" s="91" t="s">
        <v>412</v>
      </c>
      <c r="C41" t="s">
        <v>450</v>
      </c>
      <c r="D41" s="88" t="s">
        <v>280</v>
      </c>
    </row>
    <row r="42" spans="1:35" x14ac:dyDescent="0.2">
      <c r="A42" s="91">
        <v>2091565</v>
      </c>
      <c r="B42" s="91" t="s">
        <v>413</v>
      </c>
      <c r="C42" t="s">
        <v>451</v>
      </c>
      <c r="D42" s="88" t="s">
        <v>280</v>
      </c>
    </row>
    <row r="43" spans="1:35" x14ac:dyDescent="0.2">
      <c r="A43" s="91">
        <v>2091586</v>
      </c>
      <c r="B43" s="91" t="s">
        <v>108</v>
      </c>
      <c r="C43" t="s">
        <v>127</v>
      </c>
      <c r="D43" s="88" t="s">
        <v>280</v>
      </c>
    </row>
    <row r="44" spans="1:35" x14ac:dyDescent="0.2">
      <c r="A44" s="91">
        <v>2091587</v>
      </c>
      <c r="B44" s="91" t="s">
        <v>36</v>
      </c>
      <c r="C44" t="s">
        <v>127</v>
      </c>
      <c r="D44" s="88" t="s">
        <v>280</v>
      </c>
    </row>
    <row r="45" spans="1:35" x14ac:dyDescent="0.2">
      <c r="A45" s="91">
        <v>2091588</v>
      </c>
      <c r="B45" s="91" t="s">
        <v>414</v>
      </c>
      <c r="C45" t="s">
        <v>450</v>
      </c>
      <c r="D45" s="88" t="s">
        <v>280</v>
      </c>
    </row>
    <row r="46" spans="1:35" x14ac:dyDescent="0.2">
      <c r="A46" s="91">
        <v>2091708</v>
      </c>
      <c r="B46" s="91" t="s">
        <v>415</v>
      </c>
      <c r="C46" t="s">
        <v>453</v>
      </c>
      <c r="D46" s="88" t="s">
        <v>281</v>
      </c>
    </row>
    <row r="47" spans="1:35" x14ac:dyDescent="0.2">
      <c r="A47" s="91">
        <v>2091711</v>
      </c>
      <c r="B47" s="91" t="s">
        <v>416</v>
      </c>
      <c r="C47" t="s">
        <v>452</v>
      </c>
      <c r="D47" s="88" t="s">
        <v>280</v>
      </c>
    </row>
    <row r="48" spans="1:35" x14ac:dyDescent="0.2">
      <c r="A48" s="91">
        <v>2091864</v>
      </c>
      <c r="B48" s="91" t="s">
        <v>311</v>
      </c>
      <c r="C48" t="s">
        <v>127</v>
      </c>
      <c r="D48" s="88" t="s">
        <v>281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</row>
    <row r="49" spans="1:35" x14ac:dyDescent="0.2">
      <c r="A49" s="98">
        <v>2091869</v>
      </c>
      <c r="B49" s="98" t="s">
        <v>110</v>
      </c>
      <c r="C49" t="s">
        <v>127</v>
      </c>
      <c r="D49" s="88" t="s">
        <v>280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</row>
    <row r="50" spans="1:35" x14ac:dyDescent="0.2">
      <c r="A50" s="91">
        <v>2091896</v>
      </c>
      <c r="B50" s="91" t="s">
        <v>417</v>
      </c>
      <c r="C50" t="s">
        <v>450</v>
      </c>
      <c r="D50" s="88" t="s">
        <v>281</v>
      </c>
    </row>
    <row r="51" spans="1:35" x14ac:dyDescent="0.2">
      <c r="A51" s="91">
        <v>2092138</v>
      </c>
      <c r="B51" s="91" t="s">
        <v>111</v>
      </c>
      <c r="C51" t="s">
        <v>125</v>
      </c>
      <c r="D51" s="88" t="s">
        <v>281</v>
      </c>
    </row>
    <row r="52" spans="1:35" x14ac:dyDescent="0.2">
      <c r="A52" s="91">
        <v>2092175</v>
      </c>
      <c r="B52" s="91" t="s">
        <v>418</v>
      </c>
      <c r="C52" t="s">
        <v>450</v>
      </c>
      <c r="D52" s="88" t="s">
        <v>281</v>
      </c>
    </row>
    <row r="53" spans="1:35" x14ac:dyDescent="0.2">
      <c r="A53" s="91">
        <v>2092192</v>
      </c>
      <c r="B53" s="91" t="s">
        <v>316</v>
      </c>
      <c r="C53" t="s">
        <v>125</v>
      </c>
      <c r="D53" s="88" t="s">
        <v>282</v>
      </c>
    </row>
    <row r="54" spans="1:35" x14ac:dyDescent="0.2">
      <c r="A54" s="91">
        <v>2092219</v>
      </c>
      <c r="B54" s="91" t="s">
        <v>419</v>
      </c>
      <c r="C54" t="s">
        <v>451</v>
      </c>
      <c r="D54" s="88" t="s">
        <v>282</v>
      </c>
    </row>
    <row r="55" spans="1:35" x14ac:dyDescent="0.2">
      <c r="A55" s="91">
        <v>2092308</v>
      </c>
      <c r="B55" s="91" t="s">
        <v>420</v>
      </c>
      <c r="C55" t="s">
        <v>450</v>
      </c>
      <c r="D55" s="88" t="s">
        <v>281</v>
      </c>
    </row>
    <row r="56" spans="1:35" x14ac:dyDescent="0.2">
      <c r="A56" s="91">
        <v>2092309</v>
      </c>
      <c r="B56" s="91" t="s">
        <v>421</v>
      </c>
      <c r="C56" t="s">
        <v>451</v>
      </c>
      <c r="D56" s="88" t="s">
        <v>281</v>
      </c>
    </row>
    <row r="57" spans="1:35" x14ac:dyDescent="0.2">
      <c r="A57" s="91">
        <v>2092310</v>
      </c>
      <c r="B57" s="91" t="s">
        <v>422</v>
      </c>
      <c r="C57" t="s">
        <v>452</v>
      </c>
      <c r="D57" s="88" t="s">
        <v>281</v>
      </c>
    </row>
    <row r="58" spans="1:35" x14ac:dyDescent="0.2">
      <c r="A58" s="91">
        <v>2092359</v>
      </c>
      <c r="B58" s="91" t="s">
        <v>101</v>
      </c>
      <c r="C58" t="s">
        <v>125</v>
      </c>
      <c r="D58" s="88" t="s">
        <v>281</v>
      </c>
    </row>
    <row r="59" spans="1:35" x14ac:dyDescent="0.2">
      <c r="A59" s="91">
        <v>2092361</v>
      </c>
      <c r="B59" s="91" t="s">
        <v>39</v>
      </c>
      <c r="C59" t="s">
        <v>126</v>
      </c>
      <c r="D59" s="88" t="s">
        <v>281</v>
      </c>
    </row>
    <row r="60" spans="1:35" x14ac:dyDescent="0.2">
      <c r="A60" s="91">
        <v>2092362</v>
      </c>
      <c r="B60" s="91" t="s">
        <v>102</v>
      </c>
      <c r="C60" t="s">
        <v>126</v>
      </c>
      <c r="D60" s="88" t="s">
        <v>281</v>
      </c>
    </row>
    <row r="61" spans="1:35" x14ac:dyDescent="0.2">
      <c r="A61" s="91">
        <v>2092363</v>
      </c>
      <c r="B61" s="91" t="s">
        <v>41</v>
      </c>
      <c r="C61" t="s">
        <v>126</v>
      </c>
      <c r="D61" s="88" t="s">
        <v>281</v>
      </c>
    </row>
    <row r="62" spans="1:35" x14ac:dyDescent="0.2">
      <c r="A62" s="91">
        <v>2092366</v>
      </c>
      <c r="B62" s="91" t="s">
        <v>42</v>
      </c>
      <c r="C62" t="s">
        <v>127</v>
      </c>
      <c r="D62" s="88" t="s">
        <v>281</v>
      </c>
    </row>
    <row r="63" spans="1:35" x14ac:dyDescent="0.2">
      <c r="A63" s="91">
        <v>2092367</v>
      </c>
      <c r="B63" s="91" t="s">
        <v>317</v>
      </c>
      <c r="C63" t="s">
        <v>127</v>
      </c>
      <c r="D63" s="88" t="s">
        <v>281</v>
      </c>
    </row>
    <row r="64" spans="1:35" x14ac:dyDescent="0.2">
      <c r="A64" s="91">
        <v>2092437</v>
      </c>
      <c r="B64" s="91" t="s">
        <v>104</v>
      </c>
      <c r="C64" t="s">
        <v>127</v>
      </c>
      <c r="D64" s="88" t="s">
        <v>281</v>
      </c>
    </row>
    <row r="65" spans="1:4" x14ac:dyDescent="0.2">
      <c r="A65" s="91">
        <v>2092446</v>
      </c>
      <c r="B65" s="91" t="s">
        <v>423</v>
      </c>
      <c r="C65" t="s">
        <v>450</v>
      </c>
      <c r="D65" s="88" t="s">
        <v>281</v>
      </c>
    </row>
    <row r="66" spans="1:4" x14ac:dyDescent="0.2">
      <c r="A66" s="91">
        <v>2092447</v>
      </c>
      <c r="B66" s="91" t="s">
        <v>424</v>
      </c>
      <c r="C66" t="s">
        <v>451</v>
      </c>
      <c r="D66" s="88" t="s">
        <v>281</v>
      </c>
    </row>
    <row r="67" spans="1:4" x14ac:dyDescent="0.2">
      <c r="A67" s="91">
        <v>2092457</v>
      </c>
      <c r="B67" s="91" t="s">
        <v>425</v>
      </c>
      <c r="C67" t="s">
        <v>452</v>
      </c>
      <c r="D67" s="88" t="s">
        <v>281</v>
      </c>
    </row>
    <row r="68" spans="1:4" x14ac:dyDescent="0.2">
      <c r="A68" s="91">
        <v>2092781</v>
      </c>
      <c r="B68" s="91" t="s">
        <v>426</v>
      </c>
      <c r="C68" t="s">
        <v>450</v>
      </c>
      <c r="D68" s="88" t="s">
        <v>281</v>
      </c>
    </row>
    <row r="69" spans="1:4" x14ac:dyDescent="0.2">
      <c r="A69" s="91">
        <v>2092784</v>
      </c>
      <c r="B69" s="91" t="s">
        <v>427</v>
      </c>
      <c r="C69" t="s">
        <v>453</v>
      </c>
      <c r="D69" s="88" t="s">
        <v>281</v>
      </c>
    </row>
    <row r="70" spans="1:4" x14ac:dyDescent="0.2">
      <c r="A70" s="91">
        <v>2092790</v>
      </c>
      <c r="B70" s="91" t="s">
        <v>428</v>
      </c>
      <c r="C70" t="s">
        <v>452</v>
      </c>
      <c r="D70" s="88" t="s">
        <v>280</v>
      </c>
    </row>
    <row r="71" spans="1:4" x14ac:dyDescent="0.2">
      <c r="A71" s="91">
        <v>2092797</v>
      </c>
      <c r="B71" s="91" t="s">
        <v>429</v>
      </c>
      <c r="C71" t="s">
        <v>452</v>
      </c>
      <c r="D71" s="88" t="s">
        <v>280</v>
      </c>
    </row>
    <row r="72" spans="1:4" x14ac:dyDescent="0.2">
      <c r="A72" s="91">
        <v>2092923</v>
      </c>
      <c r="B72" s="91" t="s">
        <v>430</v>
      </c>
      <c r="C72" t="s">
        <v>451</v>
      </c>
      <c r="D72" s="88" t="s">
        <v>280</v>
      </c>
    </row>
    <row r="73" spans="1:4" x14ac:dyDescent="0.2">
      <c r="A73" s="91">
        <v>2092936</v>
      </c>
      <c r="B73" s="91" t="s">
        <v>252</v>
      </c>
      <c r="C73" t="s">
        <v>127</v>
      </c>
      <c r="D73" s="88" t="s">
        <v>281</v>
      </c>
    </row>
    <row r="74" spans="1:4" x14ac:dyDescent="0.2">
      <c r="A74" s="91">
        <v>2092975</v>
      </c>
      <c r="B74" s="91" t="s">
        <v>431</v>
      </c>
      <c r="C74" t="s">
        <v>452</v>
      </c>
      <c r="D74" s="88" t="s">
        <v>280</v>
      </c>
    </row>
    <row r="75" spans="1:4" x14ac:dyDescent="0.2">
      <c r="A75" s="91">
        <v>2092982</v>
      </c>
      <c r="B75" s="91" t="s">
        <v>432</v>
      </c>
      <c r="C75" t="s">
        <v>452</v>
      </c>
      <c r="D75" s="88" t="s">
        <v>280</v>
      </c>
    </row>
    <row r="76" spans="1:4" x14ac:dyDescent="0.2">
      <c r="A76" s="91">
        <v>2093011</v>
      </c>
      <c r="B76" s="91" t="s">
        <v>115</v>
      </c>
      <c r="C76" t="s">
        <v>126</v>
      </c>
      <c r="D76" s="88" t="s">
        <v>280</v>
      </c>
    </row>
    <row r="77" spans="1:4" x14ac:dyDescent="0.2">
      <c r="A77" s="91">
        <v>2093014</v>
      </c>
      <c r="B77" s="91" t="s">
        <v>44</v>
      </c>
      <c r="C77" t="s">
        <v>125</v>
      </c>
      <c r="D77" s="88" t="s">
        <v>280</v>
      </c>
    </row>
    <row r="78" spans="1:4" x14ac:dyDescent="0.2">
      <c r="A78" s="91">
        <v>2093017</v>
      </c>
      <c r="B78" s="91" t="s">
        <v>116</v>
      </c>
      <c r="C78" t="s">
        <v>125</v>
      </c>
      <c r="D78" s="88" t="s">
        <v>280</v>
      </c>
    </row>
    <row r="79" spans="1:4" x14ac:dyDescent="0.2">
      <c r="A79" s="91">
        <v>2093034</v>
      </c>
      <c r="B79" s="91" t="s">
        <v>433</v>
      </c>
      <c r="C79" t="s">
        <v>451</v>
      </c>
      <c r="D79" s="88" t="s">
        <v>280</v>
      </c>
    </row>
    <row r="80" spans="1:4" x14ac:dyDescent="0.2">
      <c r="A80" s="91">
        <v>2093041</v>
      </c>
      <c r="B80" s="91" t="s">
        <v>434</v>
      </c>
      <c r="C80" t="s">
        <v>453</v>
      </c>
      <c r="D80" s="88" t="s">
        <v>280</v>
      </c>
    </row>
    <row r="81" spans="1:35" x14ac:dyDescent="0.2">
      <c r="A81" s="91">
        <v>2093092</v>
      </c>
      <c r="B81" s="91" t="s">
        <v>435</v>
      </c>
      <c r="C81" t="s">
        <v>453</v>
      </c>
      <c r="D81" s="88" t="s">
        <v>281</v>
      </c>
    </row>
    <row r="82" spans="1:35" x14ac:dyDescent="0.2">
      <c r="A82" s="91">
        <v>2093110</v>
      </c>
      <c r="B82" s="91" t="s">
        <v>6</v>
      </c>
      <c r="C82" t="s">
        <v>126</v>
      </c>
      <c r="D82" s="88" t="s">
        <v>280</v>
      </c>
    </row>
    <row r="83" spans="1:35" x14ac:dyDescent="0.2">
      <c r="A83" s="91">
        <v>2093123</v>
      </c>
      <c r="B83" s="91" t="s">
        <v>436</v>
      </c>
      <c r="C83" t="s">
        <v>451</v>
      </c>
      <c r="D83" s="88" t="s">
        <v>280</v>
      </c>
    </row>
    <row r="84" spans="1:35" x14ac:dyDescent="0.2">
      <c r="A84" s="91">
        <v>2093130</v>
      </c>
      <c r="B84" s="91" t="s">
        <v>437</v>
      </c>
      <c r="C84" t="s">
        <v>451</v>
      </c>
      <c r="D84" s="88" t="s">
        <v>281</v>
      </c>
    </row>
    <row r="85" spans="1:35" x14ac:dyDescent="0.2">
      <c r="A85" s="91">
        <v>2093137</v>
      </c>
      <c r="B85" s="91" t="s">
        <v>438</v>
      </c>
      <c r="C85" t="s">
        <v>450</v>
      </c>
      <c r="D85" s="88" t="s">
        <v>281</v>
      </c>
    </row>
    <row r="86" spans="1:35" x14ac:dyDescent="0.2">
      <c r="A86" s="91">
        <v>2093223</v>
      </c>
      <c r="B86" s="91" t="s">
        <v>117</v>
      </c>
      <c r="C86" t="s">
        <v>126</v>
      </c>
      <c r="D86" s="88" t="s">
        <v>281</v>
      </c>
    </row>
    <row r="87" spans="1:35" x14ac:dyDescent="0.2">
      <c r="A87" s="91">
        <v>2093259</v>
      </c>
      <c r="B87" s="91" t="s">
        <v>439</v>
      </c>
      <c r="C87" t="s">
        <v>453</v>
      </c>
      <c r="D87" s="88" t="s">
        <v>280</v>
      </c>
    </row>
    <row r="88" spans="1:35" x14ac:dyDescent="0.2">
      <c r="A88" s="91">
        <v>2093373</v>
      </c>
      <c r="B88" s="91" t="s">
        <v>118</v>
      </c>
      <c r="C88" t="s">
        <v>126</v>
      </c>
      <c r="D88" s="88" t="s">
        <v>280</v>
      </c>
    </row>
    <row r="89" spans="1:35" x14ac:dyDescent="0.2">
      <c r="A89" s="91">
        <v>2093375</v>
      </c>
      <c r="B89" s="91" t="s">
        <v>44</v>
      </c>
      <c r="C89" t="s">
        <v>451</v>
      </c>
      <c r="D89" s="88" t="s">
        <v>280</v>
      </c>
    </row>
    <row r="90" spans="1:35" x14ac:dyDescent="0.2">
      <c r="A90" s="91">
        <v>2093377</v>
      </c>
      <c r="B90" s="91" t="s">
        <v>440</v>
      </c>
      <c r="C90" t="s">
        <v>453</v>
      </c>
      <c r="D90" s="88" t="s">
        <v>282</v>
      </c>
    </row>
    <row r="91" spans="1:35" x14ac:dyDescent="0.2">
      <c r="A91" s="91">
        <v>2093389</v>
      </c>
      <c r="B91" s="91" t="s">
        <v>45</v>
      </c>
      <c r="C91" t="s">
        <v>125</v>
      </c>
      <c r="D91" s="88" t="s">
        <v>281</v>
      </c>
    </row>
    <row r="92" spans="1:35" x14ac:dyDescent="0.2">
      <c r="A92" s="91">
        <v>2093457</v>
      </c>
      <c r="B92" s="91" t="s">
        <v>46</v>
      </c>
      <c r="C92" t="s">
        <v>125</v>
      </c>
      <c r="D92" s="88" t="s">
        <v>281</v>
      </c>
    </row>
    <row r="93" spans="1:35" x14ac:dyDescent="0.2">
      <c r="A93" s="91">
        <v>2093564</v>
      </c>
      <c r="B93" s="91" t="s">
        <v>105</v>
      </c>
      <c r="C93" t="s">
        <v>126</v>
      </c>
      <c r="D93" s="88" t="s">
        <v>281</v>
      </c>
    </row>
    <row r="94" spans="1:35" x14ac:dyDescent="0.2">
      <c r="A94" s="91">
        <v>2093570</v>
      </c>
      <c r="B94" s="91" t="s">
        <v>106</v>
      </c>
      <c r="C94" t="s">
        <v>127</v>
      </c>
      <c r="D94" s="88" t="s">
        <v>281</v>
      </c>
    </row>
    <row r="95" spans="1:35" x14ac:dyDescent="0.2">
      <c r="A95" s="91">
        <v>2093669</v>
      </c>
      <c r="B95" s="91" t="s">
        <v>119</v>
      </c>
      <c r="C95" t="s">
        <v>125</v>
      </c>
      <c r="D95" s="88" t="s">
        <v>280</v>
      </c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</row>
    <row r="96" spans="1:35" x14ac:dyDescent="0.2">
      <c r="A96" s="91">
        <v>2093677</v>
      </c>
      <c r="B96" s="91" t="s">
        <v>441</v>
      </c>
      <c r="C96" s="91" t="s">
        <v>450</v>
      </c>
      <c r="D96" s="91" t="s">
        <v>282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</row>
    <row r="97" spans="1:35" x14ac:dyDescent="0.2">
      <c r="A97" s="91">
        <v>2093678</v>
      </c>
      <c r="B97" s="91" t="s">
        <v>121</v>
      </c>
      <c r="C97" t="s">
        <v>126</v>
      </c>
      <c r="D97" s="88" t="s">
        <v>282</v>
      </c>
    </row>
    <row r="98" spans="1:35" x14ac:dyDescent="0.2">
      <c r="A98" s="91">
        <v>2093727</v>
      </c>
      <c r="B98" s="91" t="s">
        <v>442</v>
      </c>
      <c r="C98" t="s">
        <v>453</v>
      </c>
      <c r="D98" s="88" t="s">
        <v>280</v>
      </c>
    </row>
    <row r="99" spans="1:35" x14ac:dyDescent="0.2">
      <c r="A99" s="91">
        <v>2093747</v>
      </c>
      <c r="B99" s="91" t="s">
        <v>120</v>
      </c>
      <c r="C99" t="s">
        <v>125</v>
      </c>
      <c r="D99" s="88" t="s">
        <v>282</v>
      </c>
    </row>
    <row r="100" spans="1:35" x14ac:dyDescent="0.2">
      <c r="A100" s="91">
        <v>2093749</v>
      </c>
      <c r="B100" s="91" t="s">
        <v>443</v>
      </c>
      <c r="C100" t="s">
        <v>452</v>
      </c>
      <c r="D100" s="88" t="s">
        <v>281</v>
      </c>
    </row>
    <row r="101" spans="1:35" x14ac:dyDescent="0.2">
      <c r="A101" s="91">
        <v>2093808</v>
      </c>
      <c r="B101" s="91" t="s">
        <v>444</v>
      </c>
      <c r="C101" t="s">
        <v>452</v>
      </c>
      <c r="D101" s="88" t="s">
        <v>280</v>
      </c>
    </row>
    <row r="102" spans="1:35" x14ac:dyDescent="0.2">
      <c r="A102" s="91">
        <v>2093815</v>
      </c>
      <c r="B102" s="91" t="s">
        <v>103</v>
      </c>
      <c r="C102" t="s">
        <v>127</v>
      </c>
      <c r="D102" s="88" t="s">
        <v>281</v>
      </c>
    </row>
    <row r="103" spans="1:35" x14ac:dyDescent="0.2">
      <c r="A103" s="91">
        <v>209003824</v>
      </c>
      <c r="B103" s="91" t="s">
        <v>445</v>
      </c>
      <c r="C103" t="s">
        <v>450</v>
      </c>
      <c r="D103" s="88" t="s">
        <v>280</v>
      </c>
    </row>
    <row r="104" spans="1:35" x14ac:dyDescent="0.2">
      <c r="A104" s="91">
        <v>209003825</v>
      </c>
      <c r="B104" s="91" t="s">
        <v>446</v>
      </c>
      <c r="C104" t="s">
        <v>450</v>
      </c>
      <c r="D104" s="88" t="s">
        <v>280</v>
      </c>
    </row>
    <row r="105" spans="1:35" x14ac:dyDescent="0.2">
      <c r="A105" s="91">
        <v>209003827</v>
      </c>
      <c r="B105" s="91" t="s">
        <v>447</v>
      </c>
      <c r="C105" t="s">
        <v>451</v>
      </c>
      <c r="D105" s="88" t="s">
        <v>280</v>
      </c>
    </row>
    <row r="106" spans="1:35" x14ac:dyDescent="0.2">
      <c r="A106" s="91">
        <v>209003838</v>
      </c>
      <c r="B106" s="91" t="s">
        <v>448</v>
      </c>
      <c r="C106" t="s">
        <v>453</v>
      </c>
      <c r="D106" s="88" t="s">
        <v>280</v>
      </c>
    </row>
    <row r="107" spans="1:35" x14ac:dyDescent="0.2">
      <c r="A107" s="91">
        <v>209003840</v>
      </c>
      <c r="B107" s="91" t="s">
        <v>323</v>
      </c>
      <c r="C107" t="s">
        <v>127</v>
      </c>
      <c r="D107" s="88" t="s">
        <v>282</v>
      </c>
    </row>
    <row r="108" spans="1:35" x14ac:dyDescent="0.2">
      <c r="A108" s="91">
        <v>209003847</v>
      </c>
      <c r="B108" s="91" t="s">
        <v>449</v>
      </c>
      <c r="C108" t="s">
        <v>452</v>
      </c>
      <c r="D108" s="88" t="s">
        <v>281</v>
      </c>
    </row>
    <row r="109" spans="1:35" x14ac:dyDescent="0.2">
      <c r="A109" s="97"/>
      <c r="B109" s="97"/>
      <c r="C109" s="97"/>
      <c r="D109" s="97"/>
    </row>
    <row r="110" spans="1:35" ht="25.5" customHeight="1" x14ac:dyDescent="0.2">
      <c r="A110" s="99" t="s">
        <v>129</v>
      </c>
      <c r="E110" s="65">
        <f>+SUBTOTAL(9,E112:E217)</f>
        <v>0</v>
      </c>
      <c r="F110" s="65">
        <f t="shared" ref="F110:AI110" si="1">+SUBTOTAL(9,F112:F217)</f>
        <v>0</v>
      </c>
      <c r="G110" s="65">
        <f t="shared" si="1"/>
        <v>0</v>
      </c>
      <c r="H110" s="65">
        <f t="shared" si="1"/>
        <v>0</v>
      </c>
      <c r="I110" s="65">
        <f t="shared" si="1"/>
        <v>0</v>
      </c>
      <c r="J110" s="65">
        <f t="shared" si="1"/>
        <v>0</v>
      </c>
      <c r="K110" s="65">
        <f t="shared" si="1"/>
        <v>0</v>
      </c>
      <c r="L110" s="65">
        <f t="shared" si="1"/>
        <v>0</v>
      </c>
      <c r="M110" s="65">
        <f t="shared" si="1"/>
        <v>0</v>
      </c>
      <c r="N110" s="65">
        <f t="shared" si="1"/>
        <v>0</v>
      </c>
      <c r="O110" s="65">
        <f t="shared" si="1"/>
        <v>0</v>
      </c>
      <c r="P110" s="65">
        <f t="shared" si="1"/>
        <v>0</v>
      </c>
      <c r="Q110" s="65">
        <f t="shared" si="1"/>
        <v>0</v>
      </c>
      <c r="R110" s="65">
        <f t="shared" si="1"/>
        <v>0</v>
      </c>
      <c r="S110" s="65">
        <f t="shared" si="1"/>
        <v>0</v>
      </c>
      <c r="T110" s="65">
        <f t="shared" si="1"/>
        <v>0</v>
      </c>
      <c r="U110" s="65">
        <f t="shared" si="1"/>
        <v>0</v>
      </c>
      <c r="V110" s="65">
        <f t="shared" si="1"/>
        <v>0</v>
      </c>
      <c r="W110" s="65">
        <f t="shared" si="1"/>
        <v>0</v>
      </c>
      <c r="X110" s="65">
        <f t="shared" si="1"/>
        <v>0</v>
      </c>
      <c r="Y110" s="65">
        <f t="shared" si="1"/>
        <v>0</v>
      </c>
      <c r="Z110" s="65">
        <f t="shared" si="1"/>
        <v>0</v>
      </c>
      <c r="AA110" s="65">
        <f t="shared" si="1"/>
        <v>0</v>
      </c>
      <c r="AB110" s="65">
        <f t="shared" si="1"/>
        <v>0</v>
      </c>
      <c r="AC110" s="65">
        <f t="shared" si="1"/>
        <v>0</v>
      </c>
      <c r="AD110" s="65">
        <f t="shared" si="1"/>
        <v>0</v>
      </c>
      <c r="AE110" s="65">
        <f t="shared" si="1"/>
        <v>0</v>
      </c>
      <c r="AF110" s="65">
        <f t="shared" si="1"/>
        <v>0</v>
      </c>
      <c r="AG110" s="65">
        <f t="shared" si="1"/>
        <v>0</v>
      </c>
      <c r="AH110" s="65">
        <f t="shared" si="1"/>
        <v>0</v>
      </c>
      <c r="AI110" s="65">
        <f t="shared" si="1"/>
        <v>0</v>
      </c>
    </row>
    <row r="111" spans="1:35" x14ac:dyDescent="0.2">
      <c r="A111" s="62" t="s">
        <v>352</v>
      </c>
      <c r="B111" s="62" t="s">
        <v>353</v>
      </c>
      <c r="C111" s="62" t="s">
        <v>122</v>
      </c>
      <c r="D111" s="62" t="s">
        <v>4</v>
      </c>
      <c r="E111" s="63">
        <v>1</v>
      </c>
      <c r="F111" s="63">
        <v>2</v>
      </c>
      <c r="G111" s="63">
        <v>3</v>
      </c>
      <c r="H111" s="63">
        <v>4</v>
      </c>
      <c r="I111" s="63">
        <v>5</v>
      </c>
      <c r="J111" s="63">
        <v>6</v>
      </c>
      <c r="K111" s="63">
        <v>7</v>
      </c>
      <c r="L111" s="63">
        <v>8</v>
      </c>
      <c r="M111" s="63">
        <v>9</v>
      </c>
      <c r="N111" s="63">
        <v>10</v>
      </c>
      <c r="O111" s="63">
        <v>11</v>
      </c>
      <c r="P111" s="63">
        <v>12</v>
      </c>
      <c r="Q111" s="63">
        <v>13</v>
      </c>
      <c r="R111" s="63">
        <v>14</v>
      </c>
      <c r="S111" s="63">
        <v>15</v>
      </c>
      <c r="T111" s="63">
        <v>16</v>
      </c>
      <c r="U111" s="63">
        <v>17</v>
      </c>
      <c r="V111" s="63">
        <v>18</v>
      </c>
      <c r="W111" s="63">
        <v>19</v>
      </c>
      <c r="X111" s="63">
        <v>20</v>
      </c>
      <c r="Y111" s="63">
        <v>21</v>
      </c>
      <c r="Z111" s="63">
        <v>22</v>
      </c>
      <c r="AA111" s="63">
        <v>23</v>
      </c>
      <c r="AB111" s="63">
        <v>24</v>
      </c>
      <c r="AC111" s="63">
        <v>25</v>
      </c>
      <c r="AD111" s="63">
        <v>26</v>
      </c>
      <c r="AE111" s="63">
        <v>27</v>
      </c>
      <c r="AF111" s="63">
        <v>28</v>
      </c>
      <c r="AG111" s="79">
        <v>29</v>
      </c>
      <c r="AH111" s="79">
        <v>30</v>
      </c>
      <c r="AI111" s="63">
        <v>31</v>
      </c>
    </row>
    <row r="112" spans="1:35" x14ac:dyDescent="0.2">
      <c r="A112" s="91">
        <v>2090171</v>
      </c>
      <c r="B112" s="91" t="s">
        <v>18</v>
      </c>
      <c r="C112" t="s">
        <v>125</v>
      </c>
      <c r="D112" s="88" t="s">
        <v>280</v>
      </c>
    </row>
    <row r="113" spans="1:4" x14ac:dyDescent="0.2">
      <c r="A113" s="91">
        <v>2090172</v>
      </c>
      <c r="B113" s="91" t="s">
        <v>19</v>
      </c>
      <c r="C113" t="s">
        <v>126</v>
      </c>
      <c r="D113" s="88" t="s">
        <v>280</v>
      </c>
    </row>
    <row r="114" spans="1:4" x14ac:dyDescent="0.2">
      <c r="A114" s="91">
        <v>2090173</v>
      </c>
      <c r="B114" s="91" t="s">
        <v>388</v>
      </c>
      <c r="C114" t="s">
        <v>450</v>
      </c>
      <c r="D114" s="88" t="s">
        <v>280</v>
      </c>
    </row>
    <row r="115" spans="1:4" x14ac:dyDescent="0.2">
      <c r="A115" s="91">
        <v>2090174</v>
      </c>
      <c r="B115" s="91" t="s">
        <v>389</v>
      </c>
      <c r="C115" t="s">
        <v>451</v>
      </c>
      <c r="D115" s="88" t="s">
        <v>280</v>
      </c>
    </row>
    <row r="116" spans="1:4" x14ac:dyDescent="0.2">
      <c r="A116" s="91">
        <v>2090175</v>
      </c>
      <c r="B116" s="91" t="s">
        <v>390</v>
      </c>
      <c r="C116" t="s">
        <v>451</v>
      </c>
      <c r="D116" s="88" t="s">
        <v>280</v>
      </c>
    </row>
    <row r="117" spans="1:4" x14ac:dyDescent="0.2">
      <c r="A117" s="91">
        <v>2090176</v>
      </c>
      <c r="B117" s="91" t="s">
        <v>391</v>
      </c>
      <c r="C117" t="s">
        <v>451</v>
      </c>
      <c r="D117" s="88" t="s">
        <v>280</v>
      </c>
    </row>
    <row r="118" spans="1:4" x14ac:dyDescent="0.2">
      <c r="A118" s="91">
        <v>2090552</v>
      </c>
      <c r="B118" s="91" t="s">
        <v>392</v>
      </c>
      <c r="C118" t="s">
        <v>452</v>
      </c>
      <c r="D118" s="88" t="s">
        <v>282</v>
      </c>
    </row>
    <row r="119" spans="1:4" x14ac:dyDescent="0.2">
      <c r="A119" s="91">
        <v>2090559</v>
      </c>
      <c r="B119" s="91" t="s">
        <v>393</v>
      </c>
      <c r="C119" t="s">
        <v>451</v>
      </c>
      <c r="D119" s="88" t="s">
        <v>282</v>
      </c>
    </row>
    <row r="120" spans="1:4" x14ac:dyDescent="0.2">
      <c r="A120" s="91">
        <v>2090618</v>
      </c>
      <c r="B120" s="91" t="s">
        <v>20</v>
      </c>
      <c r="C120" t="s">
        <v>126</v>
      </c>
      <c r="D120" s="88" t="s">
        <v>280</v>
      </c>
    </row>
    <row r="121" spans="1:4" x14ac:dyDescent="0.2">
      <c r="A121" s="91">
        <v>2090742</v>
      </c>
      <c r="B121" s="91" t="s">
        <v>394</v>
      </c>
      <c r="C121" t="s">
        <v>450</v>
      </c>
      <c r="D121" s="88" t="s">
        <v>280</v>
      </c>
    </row>
    <row r="122" spans="1:4" x14ac:dyDescent="0.2">
      <c r="A122" s="91">
        <v>2090749</v>
      </c>
      <c r="B122" s="91" t="s">
        <v>22</v>
      </c>
      <c r="C122" t="s">
        <v>126</v>
      </c>
      <c r="D122" s="88" t="s">
        <v>280</v>
      </c>
    </row>
    <row r="123" spans="1:4" x14ac:dyDescent="0.2">
      <c r="A123" s="91">
        <v>2090826</v>
      </c>
      <c r="B123" s="91" t="s">
        <v>395</v>
      </c>
      <c r="C123" t="s">
        <v>450</v>
      </c>
      <c r="D123" s="88" t="s">
        <v>280</v>
      </c>
    </row>
    <row r="124" spans="1:4" x14ac:dyDescent="0.2">
      <c r="A124" s="91">
        <v>2090839</v>
      </c>
      <c r="B124" s="91" t="s">
        <v>6</v>
      </c>
      <c r="C124" t="s">
        <v>125</v>
      </c>
      <c r="D124" s="88" t="s">
        <v>280</v>
      </c>
    </row>
    <row r="125" spans="1:4" x14ac:dyDescent="0.2">
      <c r="A125" s="91">
        <v>2090872</v>
      </c>
      <c r="B125" s="91" t="s">
        <v>24</v>
      </c>
      <c r="C125" t="s">
        <v>125</v>
      </c>
      <c r="D125" s="88" t="s">
        <v>280</v>
      </c>
    </row>
    <row r="126" spans="1:4" x14ac:dyDescent="0.2">
      <c r="A126" s="91">
        <v>2090875</v>
      </c>
      <c r="B126" s="91" t="s">
        <v>396</v>
      </c>
      <c r="C126" t="s">
        <v>453</v>
      </c>
      <c r="D126" s="88" t="s">
        <v>280</v>
      </c>
    </row>
    <row r="127" spans="1:4" x14ac:dyDescent="0.2">
      <c r="A127" s="91">
        <v>2090892</v>
      </c>
      <c r="B127" s="91" t="s">
        <v>397</v>
      </c>
      <c r="C127" t="s">
        <v>451</v>
      </c>
      <c r="D127" s="88" t="s">
        <v>280</v>
      </c>
    </row>
    <row r="128" spans="1:4" x14ac:dyDescent="0.2">
      <c r="A128" s="91">
        <v>2090893</v>
      </c>
      <c r="B128" s="91" t="s">
        <v>398</v>
      </c>
      <c r="C128" t="s">
        <v>451</v>
      </c>
      <c r="D128" s="88" t="s">
        <v>280</v>
      </c>
    </row>
    <row r="129" spans="1:4" x14ac:dyDescent="0.2">
      <c r="A129" s="91">
        <v>2090912</v>
      </c>
      <c r="B129" s="91" t="s">
        <v>25</v>
      </c>
      <c r="C129" t="s">
        <v>127</v>
      </c>
      <c r="D129" s="88" t="s">
        <v>280</v>
      </c>
    </row>
    <row r="130" spans="1:4" x14ac:dyDescent="0.2">
      <c r="A130" s="91">
        <v>2090913</v>
      </c>
      <c r="B130" s="91" t="s">
        <v>26</v>
      </c>
      <c r="C130" t="s">
        <v>125</v>
      </c>
      <c r="D130" s="88" t="s">
        <v>280</v>
      </c>
    </row>
    <row r="131" spans="1:4" x14ac:dyDescent="0.2">
      <c r="A131" s="91">
        <v>2090932</v>
      </c>
      <c r="B131" s="91" t="s">
        <v>27</v>
      </c>
      <c r="C131" t="s">
        <v>125</v>
      </c>
      <c r="D131" s="88" t="s">
        <v>281</v>
      </c>
    </row>
    <row r="132" spans="1:4" x14ac:dyDescent="0.2">
      <c r="A132" s="91">
        <v>2090937</v>
      </c>
      <c r="B132" s="91" t="s">
        <v>29</v>
      </c>
      <c r="C132" t="s">
        <v>127</v>
      </c>
      <c r="D132" s="88" t="s">
        <v>280</v>
      </c>
    </row>
    <row r="133" spans="1:4" x14ac:dyDescent="0.2">
      <c r="A133" s="91">
        <v>2090947</v>
      </c>
      <c r="B133" s="91" t="s">
        <v>30</v>
      </c>
      <c r="C133" t="s">
        <v>127</v>
      </c>
      <c r="D133" s="88" t="s">
        <v>280</v>
      </c>
    </row>
    <row r="134" spans="1:4" x14ac:dyDescent="0.2">
      <c r="A134" s="91">
        <v>2090997</v>
      </c>
      <c r="B134" s="91" t="s">
        <v>31</v>
      </c>
      <c r="C134" t="s">
        <v>126</v>
      </c>
      <c r="D134" s="88" t="s">
        <v>280</v>
      </c>
    </row>
    <row r="135" spans="1:4" x14ac:dyDescent="0.2">
      <c r="A135" s="91">
        <v>2091007</v>
      </c>
      <c r="B135" s="91" t="s">
        <v>32</v>
      </c>
      <c r="C135" t="s">
        <v>125</v>
      </c>
      <c r="D135" s="88" t="s">
        <v>280</v>
      </c>
    </row>
    <row r="136" spans="1:4" x14ac:dyDescent="0.2">
      <c r="A136" s="91">
        <v>2091016</v>
      </c>
      <c r="B136" s="91" t="s">
        <v>399</v>
      </c>
      <c r="C136" t="s">
        <v>452</v>
      </c>
      <c r="D136" s="88" t="s">
        <v>280</v>
      </c>
    </row>
    <row r="137" spans="1:4" x14ac:dyDescent="0.2">
      <c r="A137" s="91">
        <v>2091032</v>
      </c>
      <c r="B137" s="91" t="s">
        <v>400</v>
      </c>
      <c r="C137" t="s">
        <v>450</v>
      </c>
      <c r="D137" s="88" t="s">
        <v>280</v>
      </c>
    </row>
    <row r="138" spans="1:4" x14ac:dyDescent="0.2">
      <c r="A138" s="91">
        <v>2091046</v>
      </c>
      <c r="B138" s="91" t="s">
        <v>401</v>
      </c>
      <c r="C138" t="s">
        <v>452</v>
      </c>
      <c r="D138" s="88" t="s">
        <v>280</v>
      </c>
    </row>
    <row r="139" spans="1:4" x14ac:dyDescent="0.2">
      <c r="A139" s="91">
        <v>2091151</v>
      </c>
      <c r="B139" s="91" t="s">
        <v>402</v>
      </c>
      <c r="C139" t="s">
        <v>450</v>
      </c>
      <c r="D139" s="88" t="s">
        <v>280</v>
      </c>
    </row>
    <row r="140" spans="1:4" x14ac:dyDescent="0.2">
      <c r="A140" s="91">
        <v>2091192</v>
      </c>
      <c r="B140" s="91" t="s">
        <v>403</v>
      </c>
      <c r="C140" t="s">
        <v>451</v>
      </c>
      <c r="D140" s="88" t="s">
        <v>281</v>
      </c>
    </row>
    <row r="141" spans="1:4" x14ac:dyDescent="0.2">
      <c r="A141" s="91">
        <v>2091194</v>
      </c>
      <c r="B141" s="91" t="s">
        <v>404</v>
      </c>
      <c r="C141" t="s">
        <v>450</v>
      </c>
      <c r="D141" s="88" t="s">
        <v>281</v>
      </c>
    </row>
    <row r="142" spans="1:4" x14ac:dyDescent="0.2">
      <c r="A142" s="91">
        <v>2091206</v>
      </c>
      <c r="B142" s="91" t="s">
        <v>405</v>
      </c>
      <c r="C142" t="s">
        <v>451</v>
      </c>
      <c r="D142" s="88" t="s">
        <v>281</v>
      </c>
    </row>
    <row r="143" spans="1:4" x14ac:dyDescent="0.2">
      <c r="A143" s="91">
        <v>2091207</v>
      </c>
      <c r="B143" s="91" t="s">
        <v>406</v>
      </c>
      <c r="C143" t="s">
        <v>453</v>
      </c>
      <c r="D143" s="88" t="s">
        <v>281</v>
      </c>
    </row>
    <row r="144" spans="1:4" x14ac:dyDescent="0.2">
      <c r="A144" s="91">
        <v>2091209</v>
      </c>
      <c r="B144" s="91" t="s">
        <v>407</v>
      </c>
      <c r="C144" t="s">
        <v>451</v>
      </c>
      <c r="D144" s="88" t="s">
        <v>281</v>
      </c>
    </row>
    <row r="145" spans="1:35" x14ac:dyDescent="0.2">
      <c r="A145" s="91">
        <v>2091238</v>
      </c>
      <c r="B145" s="91" t="s">
        <v>408</v>
      </c>
      <c r="C145" t="s">
        <v>452</v>
      </c>
      <c r="D145" s="88" t="s">
        <v>281</v>
      </c>
    </row>
    <row r="146" spans="1:35" x14ac:dyDescent="0.2">
      <c r="A146" s="91">
        <v>2091244</v>
      </c>
      <c r="B146" s="91" t="s">
        <v>409</v>
      </c>
      <c r="C146" t="s">
        <v>453</v>
      </c>
      <c r="D146" s="88" t="s">
        <v>281</v>
      </c>
    </row>
    <row r="147" spans="1:35" x14ac:dyDescent="0.2">
      <c r="A147" s="91">
        <v>2091372</v>
      </c>
      <c r="B147" s="91" t="s">
        <v>410</v>
      </c>
      <c r="C147" t="s">
        <v>452</v>
      </c>
      <c r="D147" s="88" t="s">
        <v>280</v>
      </c>
    </row>
    <row r="148" spans="1:35" x14ac:dyDescent="0.2">
      <c r="A148" s="91">
        <v>2091438</v>
      </c>
      <c r="B148" s="91" t="s">
        <v>33</v>
      </c>
      <c r="C148" t="s">
        <v>127</v>
      </c>
      <c r="D148" s="88" t="s">
        <v>280</v>
      </c>
    </row>
    <row r="149" spans="1:35" x14ac:dyDescent="0.2">
      <c r="A149" s="91">
        <v>2091496</v>
      </c>
      <c r="B149" s="91" t="s">
        <v>411</v>
      </c>
      <c r="C149" t="s">
        <v>450</v>
      </c>
      <c r="D149" s="88" t="s">
        <v>281</v>
      </c>
    </row>
    <row r="150" spans="1:35" x14ac:dyDescent="0.2">
      <c r="A150" s="91">
        <v>2091551</v>
      </c>
      <c r="B150" s="91" t="s">
        <v>412</v>
      </c>
      <c r="C150" t="s">
        <v>450</v>
      </c>
      <c r="D150" s="88" t="s">
        <v>280</v>
      </c>
    </row>
    <row r="151" spans="1:35" x14ac:dyDescent="0.2">
      <c r="A151" s="91">
        <v>2091565</v>
      </c>
      <c r="B151" s="91" t="s">
        <v>413</v>
      </c>
      <c r="C151" t="s">
        <v>451</v>
      </c>
      <c r="D151" s="88" t="s">
        <v>280</v>
      </c>
    </row>
    <row r="152" spans="1:35" x14ac:dyDescent="0.2">
      <c r="A152" s="91">
        <v>2091586</v>
      </c>
      <c r="B152" s="91" t="s">
        <v>108</v>
      </c>
      <c r="C152" t="s">
        <v>127</v>
      </c>
      <c r="D152" s="88" t="s">
        <v>280</v>
      </c>
    </row>
    <row r="153" spans="1:35" x14ac:dyDescent="0.2">
      <c r="A153" s="91">
        <v>2091587</v>
      </c>
      <c r="B153" s="91" t="s">
        <v>36</v>
      </c>
      <c r="C153" t="s">
        <v>127</v>
      </c>
      <c r="D153" s="88" t="s">
        <v>280</v>
      </c>
    </row>
    <row r="154" spans="1:35" x14ac:dyDescent="0.2">
      <c r="A154" s="91">
        <v>2091588</v>
      </c>
      <c r="B154" s="91" t="s">
        <v>414</v>
      </c>
      <c r="C154" t="s">
        <v>450</v>
      </c>
      <c r="D154" s="88" t="s">
        <v>280</v>
      </c>
    </row>
    <row r="155" spans="1:35" x14ac:dyDescent="0.2">
      <c r="A155" s="91">
        <v>2091708</v>
      </c>
      <c r="B155" s="91" t="s">
        <v>415</v>
      </c>
      <c r="C155" t="s">
        <v>453</v>
      </c>
      <c r="D155" s="88" t="s">
        <v>281</v>
      </c>
    </row>
    <row r="156" spans="1:35" x14ac:dyDescent="0.2">
      <c r="A156" s="91">
        <v>2091711</v>
      </c>
      <c r="B156" s="91" t="s">
        <v>416</v>
      </c>
      <c r="C156" t="s">
        <v>452</v>
      </c>
      <c r="D156" s="88" t="s">
        <v>280</v>
      </c>
    </row>
    <row r="157" spans="1:35" x14ac:dyDescent="0.2">
      <c r="A157" s="91">
        <v>2091864</v>
      </c>
      <c r="B157" s="91" t="s">
        <v>311</v>
      </c>
      <c r="C157" t="s">
        <v>127</v>
      </c>
      <c r="D157" s="88" t="s">
        <v>281</v>
      </c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</row>
    <row r="158" spans="1:35" x14ac:dyDescent="0.2">
      <c r="A158" s="98">
        <v>2091869</v>
      </c>
      <c r="B158" s="98" t="s">
        <v>110</v>
      </c>
      <c r="C158" t="s">
        <v>127</v>
      </c>
      <c r="D158" s="88" t="s">
        <v>280</v>
      </c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</row>
    <row r="159" spans="1:35" x14ac:dyDescent="0.2">
      <c r="A159" s="91">
        <v>2091896</v>
      </c>
      <c r="B159" s="91" t="s">
        <v>417</v>
      </c>
      <c r="C159" t="s">
        <v>450</v>
      </c>
      <c r="D159" s="88" t="s">
        <v>281</v>
      </c>
    </row>
    <row r="160" spans="1:35" x14ac:dyDescent="0.2">
      <c r="A160" s="91">
        <v>2092138</v>
      </c>
      <c r="B160" s="91" t="s">
        <v>111</v>
      </c>
      <c r="C160" t="s">
        <v>125</v>
      </c>
      <c r="D160" s="88" t="s">
        <v>281</v>
      </c>
    </row>
    <row r="161" spans="1:4" x14ac:dyDescent="0.2">
      <c r="A161" s="91">
        <v>2092175</v>
      </c>
      <c r="B161" s="91" t="s">
        <v>418</v>
      </c>
      <c r="C161" t="s">
        <v>450</v>
      </c>
      <c r="D161" s="88" t="s">
        <v>281</v>
      </c>
    </row>
    <row r="162" spans="1:4" x14ac:dyDescent="0.2">
      <c r="A162" s="91">
        <v>2092192</v>
      </c>
      <c r="B162" s="91" t="s">
        <v>316</v>
      </c>
      <c r="C162" t="s">
        <v>125</v>
      </c>
      <c r="D162" s="88" t="s">
        <v>282</v>
      </c>
    </row>
    <row r="163" spans="1:4" x14ac:dyDescent="0.2">
      <c r="A163" s="91">
        <v>2092219</v>
      </c>
      <c r="B163" s="91" t="s">
        <v>419</v>
      </c>
      <c r="C163" t="s">
        <v>451</v>
      </c>
      <c r="D163" s="88" t="s">
        <v>282</v>
      </c>
    </row>
    <row r="164" spans="1:4" x14ac:dyDescent="0.2">
      <c r="A164" s="91">
        <v>2092308</v>
      </c>
      <c r="B164" s="91" t="s">
        <v>420</v>
      </c>
      <c r="C164" t="s">
        <v>450</v>
      </c>
      <c r="D164" s="88" t="s">
        <v>281</v>
      </c>
    </row>
    <row r="165" spans="1:4" x14ac:dyDescent="0.2">
      <c r="A165" s="91">
        <v>2092309</v>
      </c>
      <c r="B165" s="91" t="s">
        <v>421</v>
      </c>
      <c r="C165" t="s">
        <v>451</v>
      </c>
      <c r="D165" s="88" t="s">
        <v>281</v>
      </c>
    </row>
    <row r="166" spans="1:4" x14ac:dyDescent="0.2">
      <c r="A166" s="91">
        <v>2092310</v>
      </c>
      <c r="B166" s="91" t="s">
        <v>422</v>
      </c>
      <c r="C166" t="s">
        <v>452</v>
      </c>
      <c r="D166" s="88" t="s">
        <v>281</v>
      </c>
    </row>
    <row r="167" spans="1:4" x14ac:dyDescent="0.2">
      <c r="A167" s="91">
        <v>2092359</v>
      </c>
      <c r="B167" s="91" t="s">
        <v>101</v>
      </c>
      <c r="C167" t="s">
        <v>125</v>
      </c>
      <c r="D167" s="88" t="s">
        <v>281</v>
      </c>
    </row>
    <row r="168" spans="1:4" x14ac:dyDescent="0.2">
      <c r="A168" s="91">
        <v>2092361</v>
      </c>
      <c r="B168" s="91" t="s">
        <v>39</v>
      </c>
      <c r="C168" t="s">
        <v>126</v>
      </c>
      <c r="D168" s="88" t="s">
        <v>281</v>
      </c>
    </row>
    <row r="169" spans="1:4" x14ac:dyDescent="0.2">
      <c r="A169" s="91">
        <v>2092362</v>
      </c>
      <c r="B169" s="91" t="s">
        <v>102</v>
      </c>
      <c r="C169" t="s">
        <v>126</v>
      </c>
      <c r="D169" s="88" t="s">
        <v>281</v>
      </c>
    </row>
    <row r="170" spans="1:4" x14ac:dyDescent="0.2">
      <c r="A170" s="91">
        <v>2092363</v>
      </c>
      <c r="B170" s="91" t="s">
        <v>41</v>
      </c>
      <c r="C170" t="s">
        <v>126</v>
      </c>
      <c r="D170" s="88" t="s">
        <v>281</v>
      </c>
    </row>
    <row r="171" spans="1:4" x14ac:dyDescent="0.2">
      <c r="A171" s="91">
        <v>2092366</v>
      </c>
      <c r="B171" s="91" t="s">
        <v>42</v>
      </c>
      <c r="C171" t="s">
        <v>127</v>
      </c>
      <c r="D171" s="88" t="s">
        <v>281</v>
      </c>
    </row>
    <row r="172" spans="1:4" x14ac:dyDescent="0.2">
      <c r="A172" s="91">
        <v>2092367</v>
      </c>
      <c r="B172" s="91" t="s">
        <v>317</v>
      </c>
      <c r="C172" t="s">
        <v>127</v>
      </c>
      <c r="D172" s="88" t="s">
        <v>281</v>
      </c>
    </row>
    <row r="173" spans="1:4" x14ac:dyDescent="0.2">
      <c r="A173" s="91">
        <v>2092437</v>
      </c>
      <c r="B173" s="91" t="s">
        <v>104</v>
      </c>
      <c r="C173" t="s">
        <v>127</v>
      </c>
      <c r="D173" s="88" t="s">
        <v>281</v>
      </c>
    </row>
    <row r="174" spans="1:4" x14ac:dyDescent="0.2">
      <c r="A174" s="91">
        <v>2092446</v>
      </c>
      <c r="B174" s="91" t="s">
        <v>423</v>
      </c>
      <c r="C174" t="s">
        <v>450</v>
      </c>
      <c r="D174" s="88" t="s">
        <v>281</v>
      </c>
    </row>
    <row r="175" spans="1:4" x14ac:dyDescent="0.2">
      <c r="A175" s="91">
        <v>2092447</v>
      </c>
      <c r="B175" s="91" t="s">
        <v>424</v>
      </c>
      <c r="C175" t="s">
        <v>451</v>
      </c>
      <c r="D175" s="88" t="s">
        <v>281</v>
      </c>
    </row>
    <row r="176" spans="1:4" x14ac:dyDescent="0.2">
      <c r="A176" s="91">
        <v>2092457</v>
      </c>
      <c r="B176" s="91" t="s">
        <v>425</v>
      </c>
      <c r="C176" t="s">
        <v>452</v>
      </c>
      <c r="D176" s="88" t="s">
        <v>281</v>
      </c>
    </row>
    <row r="177" spans="1:4" x14ac:dyDescent="0.2">
      <c r="A177" s="91">
        <v>2092781</v>
      </c>
      <c r="B177" s="91" t="s">
        <v>426</v>
      </c>
      <c r="C177" t="s">
        <v>450</v>
      </c>
      <c r="D177" s="88" t="s">
        <v>281</v>
      </c>
    </row>
    <row r="178" spans="1:4" x14ac:dyDescent="0.2">
      <c r="A178" s="91">
        <v>2092784</v>
      </c>
      <c r="B178" s="91" t="s">
        <v>427</v>
      </c>
      <c r="C178" t="s">
        <v>453</v>
      </c>
      <c r="D178" s="88" t="s">
        <v>281</v>
      </c>
    </row>
    <row r="179" spans="1:4" x14ac:dyDescent="0.2">
      <c r="A179" s="91">
        <v>2092790</v>
      </c>
      <c r="B179" s="91" t="s">
        <v>428</v>
      </c>
      <c r="C179" t="s">
        <v>452</v>
      </c>
      <c r="D179" s="88" t="s">
        <v>280</v>
      </c>
    </row>
    <row r="180" spans="1:4" x14ac:dyDescent="0.2">
      <c r="A180" s="91">
        <v>2092797</v>
      </c>
      <c r="B180" s="91" t="s">
        <v>429</v>
      </c>
      <c r="C180" t="s">
        <v>452</v>
      </c>
      <c r="D180" s="88" t="s">
        <v>280</v>
      </c>
    </row>
    <row r="181" spans="1:4" x14ac:dyDescent="0.2">
      <c r="A181" s="91">
        <v>2092923</v>
      </c>
      <c r="B181" s="91" t="s">
        <v>430</v>
      </c>
      <c r="C181" t="s">
        <v>451</v>
      </c>
      <c r="D181" s="88" t="s">
        <v>280</v>
      </c>
    </row>
    <row r="182" spans="1:4" x14ac:dyDescent="0.2">
      <c r="A182" s="91">
        <v>2092936</v>
      </c>
      <c r="B182" s="91" t="s">
        <v>252</v>
      </c>
      <c r="C182" t="s">
        <v>127</v>
      </c>
      <c r="D182" s="88" t="s">
        <v>281</v>
      </c>
    </row>
    <row r="183" spans="1:4" x14ac:dyDescent="0.2">
      <c r="A183" s="91">
        <v>2092975</v>
      </c>
      <c r="B183" s="91" t="s">
        <v>431</v>
      </c>
      <c r="C183" t="s">
        <v>452</v>
      </c>
      <c r="D183" s="88" t="s">
        <v>280</v>
      </c>
    </row>
    <row r="184" spans="1:4" x14ac:dyDescent="0.2">
      <c r="A184" s="91">
        <v>2092982</v>
      </c>
      <c r="B184" s="91" t="s">
        <v>432</v>
      </c>
      <c r="C184" t="s">
        <v>452</v>
      </c>
      <c r="D184" s="88" t="s">
        <v>280</v>
      </c>
    </row>
    <row r="185" spans="1:4" x14ac:dyDescent="0.2">
      <c r="A185" s="91">
        <v>2093011</v>
      </c>
      <c r="B185" s="91" t="s">
        <v>115</v>
      </c>
      <c r="C185" t="s">
        <v>126</v>
      </c>
      <c r="D185" s="88" t="s">
        <v>280</v>
      </c>
    </row>
    <row r="186" spans="1:4" x14ac:dyDescent="0.2">
      <c r="A186" s="91">
        <v>2093014</v>
      </c>
      <c r="B186" s="91" t="s">
        <v>44</v>
      </c>
      <c r="C186" t="s">
        <v>125</v>
      </c>
      <c r="D186" s="88" t="s">
        <v>280</v>
      </c>
    </row>
    <row r="187" spans="1:4" x14ac:dyDescent="0.2">
      <c r="A187" s="91">
        <v>2093017</v>
      </c>
      <c r="B187" s="91" t="s">
        <v>116</v>
      </c>
      <c r="C187" t="s">
        <v>125</v>
      </c>
      <c r="D187" s="88" t="s">
        <v>280</v>
      </c>
    </row>
    <row r="188" spans="1:4" x14ac:dyDescent="0.2">
      <c r="A188" s="91">
        <v>2093034</v>
      </c>
      <c r="B188" s="91" t="s">
        <v>433</v>
      </c>
      <c r="C188" t="s">
        <v>451</v>
      </c>
      <c r="D188" s="88" t="s">
        <v>280</v>
      </c>
    </row>
    <row r="189" spans="1:4" x14ac:dyDescent="0.2">
      <c r="A189" s="91">
        <v>2093041</v>
      </c>
      <c r="B189" s="91" t="s">
        <v>434</v>
      </c>
      <c r="C189" t="s">
        <v>453</v>
      </c>
      <c r="D189" s="88" t="s">
        <v>280</v>
      </c>
    </row>
    <row r="190" spans="1:4" x14ac:dyDescent="0.2">
      <c r="A190" s="91">
        <v>2093092</v>
      </c>
      <c r="B190" s="91" t="s">
        <v>435</v>
      </c>
      <c r="C190" t="s">
        <v>453</v>
      </c>
      <c r="D190" s="88" t="s">
        <v>281</v>
      </c>
    </row>
    <row r="191" spans="1:4" x14ac:dyDescent="0.2">
      <c r="A191" s="91">
        <v>2093110</v>
      </c>
      <c r="B191" s="91" t="s">
        <v>6</v>
      </c>
      <c r="C191" t="s">
        <v>126</v>
      </c>
      <c r="D191" s="88" t="s">
        <v>280</v>
      </c>
    </row>
    <row r="192" spans="1:4" x14ac:dyDescent="0.2">
      <c r="A192" s="91">
        <v>2093123</v>
      </c>
      <c r="B192" s="91" t="s">
        <v>436</v>
      </c>
      <c r="C192" t="s">
        <v>451</v>
      </c>
      <c r="D192" s="88" t="s">
        <v>280</v>
      </c>
    </row>
    <row r="193" spans="1:35" x14ac:dyDescent="0.2">
      <c r="A193" s="91">
        <v>2093130</v>
      </c>
      <c r="B193" s="91" t="s">
        <v>437</v>
      </c>
      <c r="C193" t="s">
        <v>451</v>
      </c>
      <c r="D193" s="88" t="s">
        <v>281</v>
      </c>
    </row>
    <row r="194" spans="1:35" x14ac:dyDescent="0.2">
      <c r="A194" s="91">
        <v>2093137</v>
      </c>
      <c r="B194" s="91" t="s">
        <v>438</v>
      </c>
      <c r="C194" t="s">
        <v>450</v>
      </c>
      <c r="D194" s="88" t="s">
        <v>281</v>
      </c>
    </row>
    <row r="195" spans="1:35" x14ac:dyDescent="0.2">
      <c r="A195" s="91">
        <v>2093223</v>
      </c>
      <c r="B195" s="91" t="s">
        <v>117</v>
      </c>
      <c r="C195" t="s">
        <v>126</v>
      </c>
      <c r="D195" s="88" t="s">
        <v>281</v>
      </c>
    </row>
    <row r="196" spans="1:35" x14ac:dyDescent="0.2">
      <c r="A196" s="91">
        <v>2093259</v>
      </c>
      <c r="B196" s="91" t="s">
        <v>439</v>
      </c>
      <c r="C196" t="s">
        <v>453</v>
      </c>
      <c r="D196" s="88" t="s">
        <v>280</v>
      </c>
    </row>
    <row r="197" spans="1:35" x14ac:dyDescent="0.2">
      <c r="A197" s="91">
        <v>2093373</v>
      </c>
      <c r="B197" s="91" t="s">
        <v>118</v>
      </c>
      <c r="C197" t="s">
        <v>126</v>
      </c>
      <c r="D197" s="88" t="s">
        <v>280</v>
      </c>
    </row>
    <row r="198" spans="1:35" x14ac:dyDescent="0.2">
      <c r="A198" s="91">
        <v>2093375</v>
      </c>
      <c r="B198" s="91" t="s">
        <v>44</v>
      </c>
      <c r="C198" t="s">
        <v>451</v>
      </c>
      <c r="D198" s="88" t="s">
        <v>280</v>
      </c>
    </row>
    <row r="199" spans="1:35" x14ac:dyDescent="0.2">
      <c r="A199" s="91">
        <v>2093377</v>
      </c>
      <c r="B199" s="91" t="s">
        <v>440</v>
      </c>
      <c r="C199" t="s">
        <v>453</v>
      </c>
      <c r="D199" s="88" t="s">
        <v>282</v>
      </c>
    </row>
    <row r="200" spans="1:35" x14ac:dyDescent="0.2">
      <c r="A200" s="91">
        <v>2093389</v>
      </c>
      <c r="B200" s="91" t="s">
        <v>45</v>
      </c>
      <c r="C200" t="s">
        <v>125</v>
      </c>
      <c r="D200" s="88" t="s">
        <v>281</v>
      </c>
    </row>
    <row r="201" spans="1:35" x14ac:dyDescent="0.2">
      <c r="A201" s="91">
        <v>2093457</v>
      </c>
      <c r="B201" s="91" t="s">
        <v>46</v>
      </c>
      <c r="C201" t="s">
        <v>125</v>
      </c>
      <c r="D201" s="88" t="s">
        <v>281</v>
      </c>
    </row>
    <row r="202" spans="1:35" x14ac:dyDescent="0.2">
      <c r="A202" s="91">
        <v>2093564</v>
      </c>
      <c r="B202" s="91" t="s">
        <v>105</v>
      </c>
      <c r="C202" t="s">
        <v>126</v>
      </c>
      <c r="D202" s="88" t="s">
        <v>281</v>
      </c>
    </row>
    <row r="203" spans="1:35" x14ac:dyDescent="0.2">
      <c r="A203" s="91">
        <v>2093570</v>
      </c>
      <c r="B203" s="91" t="s">
        <v>106</v>
      </c>
      <c r="C203" t="s">
        <v>127</v>
      </c>
      <c r="D203" s="88" t="s">
        <v>281</v>
      </c>
    </row>
    <row r="204" spans="1:35" x14ac:dyDescent="0.2">
      <c r="A204" s="91">
        <v>2093669</v>
      </c>
      <c r="B204" s="91" t="s">
        <v>119</v>
      </c>
      <c r="C204" t="s">
        <v>125</v>
      </c>
      <c r="D204" s="88" t="s">
        <v>280</v>
      </c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</row>
    <row r="205" spans="1:35" x14ac:dyDescent="0.2">
      <c r="A205" s="91">
        <v>2093677</v>
      </c>
      <c r="B205" s="91" t="s">
        <v>441</v>
      </c>
      <c r="C205" s="91" t="s">
        <v>450</v>
      </c>
      <c r="D205" s="91" t="s">
        <v>282</v>
      </c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</row>
    <row r="206" spans="1:35" x14ac:dyDescent="0.2">
      <c r="A206" s="91">
        <v>2093678</v>
      </c>
      <c r="B206" s="91" t="s">
        <v>121</v>
      </c>
      <c r="C206" t="s">
        <v>126</v>
      </c>
      <c r="D206" s="88" t="s">
        <v>282</v>
      </c>
    </row>
    <row r="207" spans="1:35" x14ac:dyDescent="0.2">
      <c r="A207" s="91">
        <v>2093727</v>
      </c>
      <c r="B207" s="91" t="s">
        <v>442</v>
      </c>
      <c r="C207" t="s">
        <v>453</v>
      </c>
      <c r="D207" s="88" t="s">
        <v>280</v>
      </c>
    </row>
    <row r="208" spans="1:35" x14ac:dyDescent="0.2">
      <c r="A208" s="91">
        <v>2093747</v>
      </c>
      <c r="B208" s="91" t="s">
        <v>120</v>
      </c>
      <c r="C208" t="s">
        <v>125</v>
      </c>
      <c r="D208" s="88" t="s">
        <v>282</v>
      </c>
    </row>
    <row r="209" spans="1:35" x14ac:dyDescent="0.2">
      <c r="A209" s="91">
        <v>2093749</v>
      </c>
      <c r="B209" s="91" t="s">
        <v>443</v>
      </c>
      <c r="C209" t="s">
        <v>452</v>
      </c>
      <c r="D209" s="88" t="s">
        <v>281</v>
      </c>
    </row>
    <row r="210" spans="1:35" x14ac:dyDescent="0.2">
      <c r="A210" s="91">
        <v>2093808</v>
      </c>
      <c r="B210" s="91" t="s">
        <v>444</v>
      </c>
      <c r="C210" t="s">
        <v>452</v>
      </c>
      <c r="D210" s="88" t="s">
        <v>280</v>
      </c>
    </row>
    <row r="211" spans="1:35" x14ac:dyDescent="0.2">
      <c r="A211" s="91">
        <v>2093815</v>
      </c>
      <c r="B211" s="91" t="s">
        <v>103</v>
      </c>
      <c r="C211" t="s">
        <v>127</v>
      </c>
      <c r="D211" s="88" t="s">
        <v>281</v>
      </c>
    </row>
    <row r="212" spans="1:35" x14ac:dyDescent="0.2">
      <c r="A212" s="91">
        <v>209003824</v>
      </c>
      <c r="B212" s="91" t="s">
        <v>445</v>
      </c>
      <c r="C212" t="s">
        <v>450</v>
      </c>
      <c r="D212" s="88" t="s">
        <v>280</v>
      </c>
    </row>
    <row r="213" spans="1:35" x14ac:dyDescent="0.2">
      <c r="A213" s="91">
        <v>209003825</v>
      </c>
      <c r="B213" s="91" t="s">
        <v>446</v>
      </c>
      <c r="C213" t="s">
        <v>450</v>
      </c>
      <c r="D213" s="88" t="s">
        <v>280</v>
      </c>
    </row>
    <row r="214" spans="1:35" x14ac:dyDescent="0.2">
      <c r="A214" s="91">
        <v>209003827</v>
      </c>
      <c r="B214" s="91" t="s">
        <v>447</v>
      </c>
      <c r="C214" t="s">
        <v>451</v>
      </c>
      <c r="D214" s="88" t="s">
        <v>280</v>
      </c>
    </row>
    <row r="215" spans="1:35" x14ac:dyDescent="0.2">
      <c r="A215" s="91">
        <v>209003838</v>
      </c>
      <c r="B215" s="91" t="s">
        <v>448</v>
      </c>
      <c r="C215" t="s">
        <v>453</v>
      </c>
      <c r="D215" s="88" t="s">
        <v>280</v>
      </c>
    </row>
    <row r="216" spans="1:35" x14ac:dyDescent="0.2">
      <c r="A216" s="91">
        <v>209003840</v>
      </c>
      <c r="B216" s="91" t="s">
        <v>323</v>
      </c>
      <c r="C216" t="s">
        <v>127</v>
      </c>
      <c r="D216" s="88" t="s">
        <v>282</v>
      </c>
    </row>
    <row r="217" spans="1:35" x14ac:dyDescent="0.2">
      <c r="A217" s="91">
        <v>209003847</v>
      </c>
      <c r="B217" s="91" t="s">
        <v>449</v>
      </c>
      <c r="C217" t="s">
        <v>452</v>
      </c>
      <c r="D217" s="88" t="s">
        <v>281</v>
      </c>
    </row>
    <row r="219" spans="1:35" ht="30.6" customHeight="1" x14ac:dyDescent="0.2">
      <c r="A219" s="99" t="s">
        <v>268</v>
      </c>
      <c r="E219" s="65">
        <f>+SUBTOTAL(9,E221:E326)</f>
        <v>0</v>
      </c>
      <c r="F219" s="65">
        <f t="shared" ref="F219:AI219" si="2">+SUBTOTAL(9,F221:F326)</f>
        <v>0</v>
      </c>
      <c r="G219" s="65">
        <f t="shared" si="2"/>
        <v>0</v>
      </c>
      <c r="H219" s="65">
        <f t="shared" si="2"/>
        <v>0</v>
      </c>
      <c r="I219" s="65">
        <f t="shared" si="2"/>
        <v>0</v>
      </c>
      <c r="J219" s="65">
        <f t="shared" si="2"/>
        <v>0</v>
      </c>
      <c r="K219" s="65">
        <f t="shared" si="2"/>
        <v>0</v>
      </c>
      <c r="L219" s="65">
        <f t="shared" si="2"/>
        <v>0</v>
      </c>
      <c r="M219" s="65">
        <f t="shared" si="2"/>
        <v>0</v>
      </c>
      <c r="N219" s="65">
        <f t="shared" si="2"/>
        <v>0</v>
      </c>
      <c r="O219" s="65">
        <f t="shared" si="2"/>
        <v>0</v>
      </c>
      <c r="P219" s="65">
        <f t="shared" si="2"/>
        <v>0</v>
      </c>
      <c r="Q219" s="65">
        <f t="shared" si="2"/>
        <v>0</v>
      </c>
      <c r="R219" s="65">
        <f t="shared" si="2"/>
        <v>0</v>
      </c>
      <c r="S219" s="65">
        <f t="shared" si="2"/>
        <v>0</v>
      </c>
      <c r="T219" s="65">
        <f t="shared" si="2"/>
        <v>0</v>
      </c>
      <c r="U219" s="65">
        <f t="shared" si="2"/>
        <v>0</v>
      </c>
      <c r="V219" s="65">
        <f t="shared" si="2"/>
        <v>0</v>
      </c>
      <c r="W219" s="65">
        <f t="shared" si="2"/>
        <v>0</v>
      </c>
      <c r="X219" s="65">
        <f t="shared" si="2"/>
        <v>0</v>
      </c>
      <c r="Y219" s="65">
        <f t="shared" si="2"/>
        <v>0</v>
      </c>
      <c r="Z219" s="65">
        <f t="shared" si="2"/>
        <v>0</v>
      </c>
      <c r="AA219" s="65">
        <f t="shared" si="2"/>
        <v>0</v>
      </c>
      <c r="AB219" s="65">
        <f t="shared" si="2"/>
        <v>0</v>
      </c>
      <c r="AC219" s="65">
        <f t="shared" si="2"/>
        <v>0</v>
      </c>
      <c r="AD219" s="65">
        <f t="shared" si="2"/>
        <v>0</v>
      </c>
      <c r="AE219" s="65">
        <f t="shared" si="2"/>
        <v>0</v>
      </c>
      <c r="AF219" s="65">
        <f t="shared" si="2"/>
        <v>0</v>
      </c>
      <c r="AG219" s="65">
        <f t="shared" si="2"/>
        <v>0</v>
      </c>
      <c r="AH219" s="65">
        <f t="shared" si="2"/>
        <v>0</v>
      </c>
      <c r="AI219" s="65">
        <f t="shared" si="2"/>
        <v>0</v>
      </c>
    </row>
    <row r="220" spans="1:35" x14ac:dyDescent="0.2">
      <c r="A220" s="62" t="s">
        <v>352</v>
      </c>
      <c r="B220" s="62" t="s">
        <v>353</v>
      </c>
      <c r="C220" s="62" t="s">
        <v>122</v>
      </c>
      <c r="D220" s="62" t="s">
        <v>4</v>
      </c>
      <c r="E220" s="63">
        <v>1</v>
      </c>
      <c r="F220" s="63">
        <v>2</v>
      </c>
      <c r="G220" s="63">
        <v>3</v>
      </c>
      <c r="H220" s="63">
        <v>4</v>
      </c>
      <c r="I220" s="63">
        <v>5</v>
      </c>
      <c r="J220" s="63">
        <v>6</v>
      </c>
      <c r="K220" s="63">
        <v>7</v>
      </c>
      <c r="L220" s="63">
        <v>8</v>
      </c>
      <c r="M220" s="63">
        <v>9</v>
      </c>
      <c r="N220" s="63">
        <v>10</v>
      </c>
      <c r="O220" s="63">
        <v>11</v>
      </c>
      <c r="P220" s="63">
        <v>12</v>
      </c>
      <c r="Q220" s="63">
        <v>13</v>
      </c>
      <c r="R220" s="63">
        <v>14</v>
      </c>
      <c r="S220" s="63">
        <v>15</v>
      </c>
      <c r="T220" s="63">
        <v>16</v>
      </c>
      <c r="U220" s="63">
        <v>17</v>
      </c>
      <c r="V220" s="63">
        <v>18</v>
      </c>
      <c r="W220" s="63">
        <v>19</v>
      </c>
      <c r="X220" s="63">
        <v>20</v>
      </c>
      <c r="Y220" s="63">
        <v>21</v>
      </c>
      <c r="Z220" s="63">
        <v>22</v>
      </c>
      <c r="AA220" s="63">
        <v>23</v>
      </c>
      <c r="AB220" s="63">
        <v>24</v>
      </c>
      <c r="AC220" s="63">
        <v>25</v>
      </c>
      <c r="AD220" s="63">
        <v>26</v>
      </c>
      <c r="AE220" s="63">
        <v>27</v>
      </c>
      <c r="AF220" s="63">
        <v>28</v>
      </c>
      <c r="AG220" s="79">
        <v>29</v>
      </c>
      <c r="AH220" s="79">
        <v>30</v>
      </c>
      <c r="AI220" s="63">
        <v>31</v>
      </c>
    </row>
    <row r="221" spans="1:35" x14ac:dyDescent="0.2">
      <c r="A221" s="91">
        <v>2090171</v>
      </c>
      <c r="B221" s="91" t="s">
        <v>18</v>
      </c>
      <c r="C221" t="s">
        <v>125</v>
      </c>
      <c r="D221" s="88" t="s">
        <v>280</v>
      </c>
    </row>
    <row r="222" spans="1:35" x14ac:dyDescent="0.2">
      <c r="A222" s="91">
        <v>2090172</v>
      </c>
      <c r="B222" s="91" t="s">
        <v>19</v>
      </c>
      <c r="C222" t="s">
        <v>126</v>
      </c>
      <c r="D222" s="88" t="s">
        <v>280</v>
      </c>
    </row>
    <row r="223" spans="1:35" x14ac:dyDescent="0.2">
      <c r="A223" s="91">
        <v>2090173</v>
      </c>
      <c r="B223" s="91" t="s">
        <v>388</v>
      </c>
      <c r="C223" t="s">
        <v>450</v>
      </c>
      <c r="D223" s="88" t="s">
        <v>280</v>
      </c>
    </row>
    <row r="224" spans="1:35" x14ac:dyDescent="0.2">
      <c r="A224" s="91">
        <v>2090174</v>
      </c>
      <c r="B224" s="91" t="s">
        <v>389</v>
      </c>
      <c r="C224" t="s">
        <v>451</v>
      </c>
      <c r="D224" s="88" t="s">
        <v>280</v>
      </c>
    </row>
    <row r="225" spans="1:4" x14ac:dyDescent="0.2">
      <c r="A225" s="91">
        <v>2090175</v>
      </c>
      <c r="B225" s="91" t="s">
        <v>390</v>
      </c>
      <c r="C225" t="s">
        <v>451</v>
      </c>
      <c r="D225" s="88" t="s">
        <v>280</v>
      </c>
    </row>
    <row r="226" spans="1:4" x14ac:dyDescent="0.2">
      <c r="A226" s="91">
        <v>2090176</v>
      </c>
      <c r="B226" s="91" t="s">
        <v>391</v>
      </c>
      <c r="C226" t="s">
        <v>451</v>
      </c>
      <c r="D226" s="88" t="s">
        <v>280</v>
      </c>
    </row>
    <row r="227" spans="1:4" x14ac:dyDescent="0.2">
      <c r="A227" s="91">
        <v>2090552</v>
      </c>
      <c r="B227" s="91" t="s">
        <v>392</v>
      </c>
      <c r="C227" t="s">
        <v>452</v>
      </c>
      <c r="D227" s="88" t="s">
        <v>282</v>
      </c>
    </row>
    <row r="228" spans="1:4" x14ac:dyDescent="0.2">
      <c r="A228" s="91">
        <v>2090559</v>
      </c>
      <c r="B228" s="91" t="s">
        <v>393</v>
      </c>
      <c r="C228" t="s">
        <v>451</v>
      </c>
      <c r="D228" s="88" t="s">
        <v>282</v>
      </c>
    </row>
    <row r="229" spans="1:4" x14ac:dyDescent="0.2">
      <c r="A229" s="91">
        <v>2090618</v>
      </c>
      <c r="B229" s="91" t="s">
        <v>20</v>
      </c>
      <c r="C229" t="s">
        <v>126</v>
      </c>
      <c r="D229" s="88" t="s">
        <v>280</v>
      </c>
    </row>
    <row r="230" spans="1:4" x14ac:dyDescent="0.2">
      <c r="A230" s="91">
        <v>2090742</v>
      </c>
      <c r="B230" s="91" t="s">
        <v>394</v>
      </c>
      <c r="C230" t="s">
        <v>450</v>
      </c>
      <c r="D230" s="88" t="s">
        <v>280</v>
      </c>
    </row>
    <row r="231" spans="1:4" x14ac:dyDescent="0.2">
      <c r="A231" s="91">
        <v>2090749</v>
      </c>
      <c r="B231" s="91" t="s">
        <v>22</v>
      </c>
      <c r="C231" t="s">
        <v>126</v>
      </c>
      <c r="D231" s="88" t="s">
        <v>280</v>
      </c>
    </row>
    <row r="232" spans="1:4" x14ac:dyDescent="0.2">
      <c r="A232" s="91">
        <v>2090826</v>
      </c>
      <c r="B232" s="91" t="s">
        <v>395</v>
      </c>
      <c r="C232" t="s">
        <v>450</v>
      </c>
      <c r="D232" s="88" t="s">
        <v>280</v>
      </c>
    </row>
    <row r="233" spans="1:4" x14ac:dyDescent="0.2">
      <c r="A233" s="91">
        <v>2090839</v>
      </c>
      <c r="B233" s="91" t="s">
        <v>6</v>
      </c>
      <c r="C233" t="s">
        <v>125</v>
      </c>
      <c r="D233" s="88" t="s">
        <v>280</v>
      </c>
    </row>
    <row r="234" spans="1:4" x14ac:dyDescent="0.2">
      <c r="A234" s="91">
        <v>2090872</v>
      </c>
      <c r="B234" s="91" t="s">
        <v>24</v>
      </c>
      <c r="C234" t="s">
        <v>125</v>
      </c>
      <c r="D234" s="88" t="s">
        <v>280</v>
      </c>
    </row>
    <row r="235" spans="1:4" x14ac:dyDescent="0.2">
      <c r="A235" s="91">
        <v>2090875</v>
      </c>
      <c r="B235" s="91" t="s">
        <v>396</v>
      </c>
      <c r="C235" t="s">
        <v>453</v>
      </c>
      <c r="D235" s="88" t="s">
        <v>280</v>
      </c>
    </row>
    <row r="236" spans="1:4" x14ac:dyDescent="0.2">
      <c r="A236" s="91">
        <v>2090892</v>
      </c>
      <c r="B236" s="91" t="s">
        <v>397</v>
      </c>
      <c r="C236" t="s">
        <v>451</v>
      </c>
      <c r="D236" s="88" t="s">
        <v>280</v>
      </c>
    </row>
    <row r="237" spans="1:4" x14ac:dyDescent="0.2">
      <c r="A237" s="91">
        <v>2090893</v>
      </c>
      <c r="B237" s="91" t="s">
        <v>398</v>
      </c>
      <c r="C237" t="s">
        <v>451</v>
      </c>
      <c r="D237" s="88" t="s">
        <v>280</v>
      </c>
    </row>
    <row r="238" spans="1:4" x14ac:dyDescent="0.2">
      <c r="A238" s="91">
        <v>2090912</v>
      </c>
      <c r="B238" s="91" t="s">
        <v>25</v>
      </c>
      <c r="C238" t="s">
        <v>127</v>
      </c>
      <c r="D238" s="88" t="s">
        <v>280</v>
      </c>
    </row>
    <row r="239" spans="1:4" x14ac:dyDescent="0.2">
      <c r="A239" s="91">
        <v>2090913</v>
      </c>
      <c r="B239" s="91" t="s">
        <v>26</v>
      </c>
      <c r="C239" t="s">
        <v>125</v>
      </c>
      <c r="D239" s="88" t="s">
        <v>280</v>
      </c>
    </row>
    <row r="240" spans="1:4" x14ac:dyDescent="0.2">
      <c r="A240" s="91">
        <v>2090932</v>
      </c>
      <c r="B240" s="91" t="s">
        <v>27</v>
      </c>
      <c r="C240" t="s">
        <v>125</v>
      </c>
      <c r="D240" s="88" t="s">
        <v>281</v>
      </c>
    </row>
    <row r="241" spans="1:4" x14ac:dyDescent="0.2">
      <c r="A241" s="91">
        <v>2090937</v>
      </c>
      <c r="B241" s="91" t="s">
        <v>29</v>
      </c>
      <c r="C241" t="s">
        <v>127</v>
      </c>
      <c r="D241" s="88" t="s">
        <v>280</v>
      </c>
    </row>
    <row r="242" spans="1:4" x14ac:dyDescent="0.2">
      <c r="A242" s="91">
        <v>2090947</v>
      </c>
      <c r="B242" s="91" t="s">
        <v>30</v>
      </c>
      <c r="C242" t="s">
        <v>127</v>
      </c>
      <c r="D242" s="88" t="s">
        <v>280</v>
      </c>
    </row>
    <row r="243" spans="1:4" x14ac:dyDescent="0.2">
      <c r="A243" s="91">
        <v>2090997</v>
      </c>
      <c r="B243" s="91" t="s">
        <v>31</v>
      </c>
      <c r="C243" t="s">
        <v>126</v>
      </c>
      <c r="D243" s="88" t="s">
        <v>280</v>
      </c>
    </row>
    <row r="244" spans="1:4" x14ac:dyDescent="0.2">
      <c r="A244" s="91">
        <v>2091007</v>
      </c>
      <c r="B244" s="91" t="s">
        <v>32</v>
      </c>
      <c r="C244" t="s">
        <v>125</v>
      </c>
      <c r="D244" s="88" t="s">
        <v>280</v>
      </c>
    </row>
    <row r="245" spans="1:4" x14ac:dyDescent="0.2">
      <c r="A245" s="91">
        <v>2091016</v>
      </c>
      <c r="B245" s="91" t="s">
        <v>399</v>
      </c>
      <c r="C245" t="s">
        <v>452</v>
      </c>
      <c r="D245" s="88" t="s">
        <v>280</v>
      </c>
    </row>
    <row r="246" spans="1:4" x14ac:dyDescent="0.2">
      <c r="A246" s="91">
        <v>2091032</v>
      </c>
      <c r="B246" s="91" t="s">
        <v>400</v>
      </c>
      <c r="C246" t="s">
        <v>450</v>
      </c>
      <c r="D246" s="88" t="s">
        <v>280</v>
      </c>
    </row>
    <row r="247" spans="1:4" x14ac:dyDescent="0.2">
      <c r="A247" s="91">
        <v>2091046</v>
      </c>
      <c r="B247" s="91" t="s">
        <v>401</v>
      </c>
      <c r="C247" t="s">
        <v>452</v>
      </c>
      <c r="D247" s="88" t="s">
        <v>280</v>
      </c>
    </row>
    <row r="248" spans="1:4" x14ac:dyDescent="0.2">
      <c r="A248" s="91">
        <v>2091151</v>
      </c>
      <c r="B248" s="91" t="s">
        <v>402</v>
      </c>
      <c r="C248" t="s">
        <v>450</v>
      </c>
      <c r="D248" s="88" t="s">
        <v>280</v>
      </c>
    </row>
    <row r="249" spans="1:4" x14ac:dyDescent="0.2">
      <c r="A249" s="91">
        <v>2091192</v>
      </c>
      <c r="B249" s="91" t="s">
        <v>403</v>
      </c>
      <c r="C249" t="s">
        <v>451</v>
      </c>
      <c r="D249" s="88" t="s">
        <v>281</v>
      </c>
    </row>
    <row r="250" spans="1:4" x14ac:dyDescent="0.2">
      <c r="A250" s="91">
        <v>2091194</v>
      </c>
      <c r="B250" s="91" t="s">
        <v>404</v>
      </c>
      <c r="C250" t="s">
        <v>450</v>
      </c>
      <c r="D250" s="88" t="s">
        <v>281</v>
      </c>
    </row>
    <row r="251" spans="1:4" x14ac:dyDescent="0.2">
      <c r="A251" s="91">
        <v>2091206</v>
      </c>
      <c r="B251" s="91" t="s">
        <v>405</v>
      </c>
      <c r="C251" t="s">
        <v>451</v>
      </c>
      <c r="D251" s="88" t="s">
        <v>281</v>
      </c>
    </row>
    <row r="252" spans="1:4" x14ac:dyDescent="0.2">
      <c r="A252" s="91">
        <v>2091207</v>
      </c>
      <c r="B252" s="91" t="s">
        <v>406</v>
      </c>
      <c r="C252" t="s">
        <v>453</v>
      </c>
      <c r="D252" s="88" t="s">
        <v>281</v>
      </c>
    </row>
    <row r="253" spans="1:4" x14ac:dyDescent="0.2">
      <c r="A253" s="91">
        <v>2091209</v>
      </c>
      <c r="B253" s="91" t="s">
        <v>407</v>
      </c>
      <c r="C253" t="s">
        <v>451</v>
      </c>
      <c r="D253" s="88" t="s">
        <v>281</v>
      </c>
    </row>
    <row r="254" spans="1:4" x14ac:dyDescent="0.2">
      <c r="A254" s="91">
        <v>2091238</v>
      </c>
      <c r="B254" s="91" t="s">
        <v>408</v>
      </c>
      <c r="C254" t="s">
        <v>452</v>
      </c>
      <c r="D254" s="88" t="s">
        <v>281</v>
      </c>
    </row>
    <row r="255" spans="1:4" x14ac:dyDescent="0.2">
      <c r="A255" s="91">
        <v>2091244</v>
      </c>
      <c r="B255" s="91" t="s">
        <v>409</v>
      </c>
      <c r="C255" t="s">
        <v>453</v>
      </c>
      <c r="D255" s="88" t="s">
        <v>281</v>
      </c>
    </row>
    <row r="256" spans="1:4" x14ac:dyDescent="0.2">
      <c r="A256" s="91">
        <v>2091372</v>
      </c>
      <c r="B256" s="91" t="s">
        <v>410</v>
      </c>
      <c r="C256" t="s">
        <v>452</v>
      </c>
      <c r="D256" s="88" t="s">
        <v>280</v>
      </c>
    </row>
    <row r="257" spans="1:35" x14ac:dyDescent="0.2">
      <c r="A257" s="91">
        <v>2091438</v>
      </c>
      <c r="B257" s="91" t="s">
        <v>33</v>
      </c>
      <c r="C257" t="s">
        <v>127</v>
      </c>
      <c r="D257" s="88" t="s">
        <v>280</v>
      </c>
    </row>
    <row r="258" spans="1:35" x14ac:dyDescent="0.2">
      <c r="A258" s="91">
        <v>2091496</v>
      </c>
      <c r="B258" s="91" t="s">
        <v>411</v>
      </c>
      <c r="C258" t="s">
        <v>450</v>
      </c>
      <c r="D258" s="88" t="s">
        <v>281</v>
      </c>
    </row>
    <row r="259" spans="1:35" x14ac:dyDescent="0.2">
      <c r="A259" s="91">
        <v>2091551</v>
      </c>
      <c r="B259" s="91" t="s">
        <v>412</v>
      </c>
      <c r="C259" t="s">
        <v>450</v>
      </c>
      <c r="D259" s="88" t="s">
        <v>280</v>
      </c>
    </row>
    <row r="260" spans="1:35" x14ac:dyDescent="0.2">
      <c r="A260" s="91">
        <v>2091565</v>
      </c>
      <c r="B260" s="91" t="s">
        <v>413</v>
      </c>
      <c r="C260" t="s">
        <v>451</v>
      </c>
      <c r="D260" s="88" t="s">
        <v>280</v>
      </c>
    </row>
    <row r="261" spans="1:35" x14ac:dyDescent="0.2">
      <c r="A261" s="91">
        <v>2091586</v>
      </c>
      <c r="B261" s="91" t="s">
        <v>108</v>
      </c>
      <c r="C261" t="s">
        <v>127</v>
      </c>
      <c r="D261" s="88" t="s">
        <v>280</v>
      </c>
    </row>
    <row r="262" spans="1:35" x14ac:dyDescent="0.2">
      <c r="A262" s="91">
        <v>2091587</v>
      </c>
      <c r="B262" s="91" t="s">
        <v>36</v>
      </c>
      <c r="C262" t="s">
        <v>127</v>
      </c>
      <c r="D262" s="88" t="s">
        <v>280</v>
      </c>
    </row>
    <row r="263" spans="1:35" x14ac:dyDescent="0.2">
      <c r="A263" s="91">
        <v>2091588</v>
      </c>
      <c r="B263" s="91" t="s">
        <v>414</v>
      </c>
      <c r="C263" t="s">
        <v>450</v>
      </c>
      <c r="D263" s="88" t="s">
        <v>280</v>
      </c>
    </row>
    <row r="264" spans="1:35" x14ac:dyDescent="0.2">
      <c r="A264" s="91">
        <v>2091708</v>
      </c>
      <c r="B264" s="91" t="s">
        <v>415</v>
      </c>
      <c r="C264" t="s">
        <v>453</v>
      </c>
      <c r="D264" s="88" t="s">
        <v>281</v>
      </c>
    </row>
    <row r="265" spans="1:35" x14ac:dyDescent="0.2">
      <c r="A265" s="91">
        <v>2091711</v>
      </c>
      <c r="B265" s="91" t="s">
        <v>416</v>
      </c>
      <c r="C265" t="s">
        <v>452</v>
      </c>
      <c r="D265" s="88" t="s">
        <v>280</v>
      </c>
    </row>
    <row r="266" spans="1:35" x14ac:dyDescent="0.2">
      <c r="A266" s="91">
        <v>2091864</v>
      </c>
      <c r="B266" s="91" t="s">
        <v>311</v>
      </c>
      <c r="C266" t="s">
        <v>127</v>
      </c>
      <c r="D266" s="88" t="s">
        <v>281</v>
      </c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</row>
    <row r="267" spans="1:35" x14ac:dyDescent="0.2">
      <c r="A267" s="98">
        <v>2091869</v>
      </c>
      <c r="B267" s="98" t="s">
        <v>110</v>
      </c>
      <c r="C267" t="s">
        <v>127</v>
      </c>
      <c r="D267" s="88" t="s">
        <v>280</v>
      </c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</row>
    <row r="268" spans="1:35" x14ac:dyDescent="0.2">
      <c r="A268" s="91">
        <v>2091896</v>
      </c>
      <c r="B268" s="91" t="s">
        <v>417</v>
      </c>
      <c r="C268" t="s">
        <v>450</v>
      </c>
      <c r="D268" s="88" t="s">
        <v>281</v>
      </c>
    </row>
    <row r="269" spans="1:35" x14ac:dyDescent="0.2">
      <c r="A269" s="91">
        <v>2092138</v>
      </c>
      <c r="B269" s="91" t="s">
        <v>111</v>
      </c>
      <c r="C269" t="s">
        <v>125</v>
      </c>
      <c r="D269" s="88" t="s">
        <v>281</v>
      </c>
    </row>
    <row r="270" spans="1:35" x14ac:dyDescent="0.2">
      <c r="A270" s="91">
        <v>2092175</v>
      </c>
      <c r="B270" s="91" t="s">
        <v>418</v>
      </c>
      <c r="C270" t="s">
        <v>450</v>
      </c>
      <c r="D270" s="88" t="s">
        <v>281</v>
      </c>
    </row>
    <row r="271" spans="1:35" x14ac:dyDescent="0.2">
      <c r="A271" s="91">
        <v>2092192</v>
      </c>
      <c r="B271" s="91" t="s">
        <v>316</v>
      </c>
      <c r="C271" t="s">
        <v>125</v>
      </c>
      <c r="D271" s="88" t="s">
        <v>282</v>
      </c>
    </row>
    <row r="272" spans="1:35" x14ac:dyDescent="0.2">
      <c r="A272" s="91">
        <v>2092219</v>
      </c>
      <c r="B272" s="91" t="s">
        <v>419</v>
      </c>
      <c r="C272" t="s">
        <v>451</v>
      </c>
      <c r="D272" s="88" t="s">
        <v>282</v>
      </c>
    </row>
    <row r="273" spans="1:4" x14ac:dyDescent="0.2">
      <c r="A273" s="91">
        <v>2092308</v>
      </c>
      <c r="B273" s="91" t="s">
        <v>420</v>
      </c>
      <c r="C273" t="s">
        <v>450</v>
      </c>
      <c r="D273" s="88" t="s">
        <v>281</v>
      </c>
    </row>
    <row r="274" spans="1:4" x14ac:dyDescent="0.2">
      <c r="A274" s="91">
        <v>2092309</v>
      </c>
      <c r="B274" s="91" t="s">
        <v>421</v>
      </c>
      <c r="C274" t="s">
        <v>451</v>
      </c>
      <c r="D274" s="88" t="s">
        <v>281</v>
      </c>
    </row>
    <row r="275" spans="1:4" x14ac:dyDescent="0.2">
      <c r="A275" s="91">
        <v>2092310</v>
      </c>
      <c r="B275" s="91" t="s">
        <v>422</v>
      </c>
      <c r="C275" t="s">
        <v>452</v>
      </c>
      <c r="D275" s="88" t="s">
        <v>281</v>
      </c>
    </row>
    <row r="276" spans="1:4" x14ac:dyDescent="0.2">
      <c r="A276" s="91">
        <v>2092359</v>
      </c>
      <c r="B276" s="91" t="s">
        <v>101</v>
      </c>
      <c r="C276" t="s">
        <v>125</v>
      </c>
      <c r="D276" s="88" t="s">
        <v>281</v>
      </c>
    </row>
    <row r="277" spans="1:4" x14ac:dyDescent="0.2">
      <c r="A277" s="91">
        <v>2092361</v>
      </c>
      <c r="B277" s="91" t="s">
        <v>39</v>
      </c>
      <c r="C277" t="s">
        <v>126</v>
      </c>
      <c r="D277" s="88" t="s">
        <v>281</v>
      </c>
    </row>
    <row r="278" spans="1:4" x14ac:dyDescent="0.2">
      <c r="A278" s="91">
        <v>2092362</v>
      </c>
      <c r="B278" s="91" t="s">
        <v>102</v>
      </c>
      <c r="C278" t="s">
        <v>126</v>
      </c>
      <c r="D278" s="88" t="s">
        <v>281</v>
      </c>
    </row>
    <row r="279" spans="1:4" x14ac:dyDescent="0.2">
      <c r="A279" s="91">
        <v>2092363</v>
      </c>
      <c r="B279" s="91" t="s">
        <v>41</v>
      </c>
      <c r="C279" t="s">
        <v>126</v>
      </c>
      <c r="D279" s="88" t="s">
        <v>281</v>
      </c>
    </row>
    <row r="280" spans="1:4" x14ac:dyDescent="0.2">
      <c r="A280" s="91">
        <v>2092366</v>
      </c>
      <c r="B280" s="91" t="s">
        <v>42</v>
      </c>
      <c r="C280" t="s">
        <v>127</v>
      </c>
      <c r="D280" s="88" t="s">
        <v>281</v>
      </c>
    </row>
    <row r="281" spans="1:4" x14ac:dyDescent="0.2">
      <c r="A281" s="91">
        <v>2092367</v>
      </c>
      <c r="B281" s="91" t="s">
        <v>317</v>
      </c>
      <c r="C281" t="s">
        <v>127</v>
      </c>
      <c r="D281" s="88" t="s">
        <v>281</v>
      </c>
    </row>
    <row r="282" spans="1:4" x14ac:dyDescent="0.2">
      <c r="A282" s="91">
        <v>2092437</v>
      </c>
      <c r="B282" s="91" t="s">
        <v>104</v>
      </c>
      <c r="C282" t="s">
        <v>127</v>
      </c>
      <c r="D282" s="88" t="s">
        <v>281</v>
      </c>
    </row>
    <row r="283" spans="1:4" x14ac:dyDescent="0.2">
      <c r="A283" s="91">
        <v>2092446</v>
      </c>
      <c r="B283" s="91" t="s">
        <v>423</v>
      </c>
      <c r="C283" t="s">
        <v>450</v>
      </c>
      <c r="D283" s="88" t="s">
        <v>281</v>
      </c>
    </row>
    <row r="284" spans="1:4" x14ac:dyDescent="0.2">
      <c r="A284" s="91">
        <v>2092447</v>
      </c>
      <c r="B284" s="91" t="s">
        <v>424</v>
      </c>
      <c r="C284" t="s">
        <v>451</v>
      </c>
      <c r="D284" s="88" t="s">
        <v>281</v>
      </c>
    </row>
    <row r="285" spans="1:4" x14ac:dyDescent="0.2">
      <c r="A285" s="91">
        <v>2092457</v>
      </c>
      <c r="B285" s="91" t="s">
        <v>425</v>
      </c>
      <c r="C285" t="s">
        <v>452</v>
      </c>
      <c r="D285" s="88" t="s">
        <v>281</v>
      </c>
    </row>
    <row r="286" spans="1:4" x14ac:dyDescent="0.2">
      <c r="A286" s="91">
        <v>2092781</v>
      </c>
      <c r="B286" s="91" t="s">
        <v>426</v>
      </c>
      <c r="C286" t="s">
        <v>450</v>
      </c>
      <c r="D286" s="88" t="s">
        <v>281</v>
      </c>
    </row>
    <row r="287" spans="1:4" x14ac:dyDescent="0.2">
      <c r="A287" s="91">
        <v>2092784</v>
      </c>
      <c r="B287" s="91" t="s">
        <v>427</v>
      </c>
      <c r="C287" t="s">
        <v>453</v>
      </c>
      <c r="D287" s="88" t="s">
        <v>281</v>
      </c>
    </row>
    <row r="288" spans="1:4" x14ac:dyDescent="0.2">
      <c r="A288" s="91">
        <v>2092790</v>
      </c>
      <c r="B288" s="91" t="s">
        <v>428</v>
      </c>
      <c r="C288" t="s">
        <v>452</v>
      </c>
      <c r="D288" s="88" t="s">
        <v>280</v>
      </c>
    </row>
    <row r="289" spans="1:4" x14ac:dyDescent="0.2">
      <c r="A289" s="91">
        <v>2092797</v>
      </c>
      <c r="B289" s="91" t="s">
        <v>429</v>
      </c>
      <c r="C289" t="s">
        <v>452</v>
      </c>
      <c r="D289" s="88" t="s">
        <v>280</v>
      </c>
    </row>
    <row r="290" spans="1:4" x14ac:dyDescent="0.2">
      <c r="A290" s="91">
        <v>2092923</v>
      </c>
      <c r="B290" s="91" t="s">
        <v>430</v>
      </c>
      <c r="C290" t="s">
        <v>451</v>
      </c>
      <c r="D290" s="88" t="s">
        <v>280</v>
      </c>
    </row>
    <row r="291" spans="1:4" x14ac:dyDescent="0.2">
      <c r="A291" s="91">
        <v>2092936</v>
      </c>
      <c r="B291" s="91" t="s">
        <v>252</v>
      </c>
      <c r="C291" t="s">
        <v>127</v>
      </c>
      <c r="D291" s="88" t="s">
        <v>281</v>
      </c>
    </row>
    <row r="292" spans="1:4" x14ac:dyDescent="0.2">
      <c r="A292" s="91">
        <v>2092975</v>
      </c>
      <c r="B292" s="91" t="s">
        <v>431</v>
      </c>
      <c r="C292" t="s">
        <v>452</v>
      </c>
      <c r="D292" s="88" t="s">
        <v>280</v>
      </c>
    </row>
    <row r="293" spans="1:4" x14ac:dyDescent="0.2">
      <c r="A293" s="91">
        <v>2092982</v>
      </c>
      <c r="B293" s="91" t="s">
        <v>432</v>
      </c>
      <c r="C293" t="s">
        <v>452</v>
      </c>
      <c r="D293" s="88" t="s">
        <v>280</v>
      </c>
    </row>
    <row r="294" spans="1:4" x14ac:dyDescent="0.2">
      <c r="A294" s="91">
        <v>2093011</v>
      </c>
      <c r="B294" s="91" t="s">
        <v>115</v>
      </c>
      <c r="C294" t="s">
        <v>126</v>
      </c>
      <c r="D294" s="88" t="s">
        <v>280</v>
      </c>
    </row>
    <row r="295" spans="1:4" x14ac:dyDescent="0.2">
      <c r="A295" s="91">
        <v>2093014</v>
      </c>
      <c r="B295" s="91" t="s">
        <v>44</v>
      </c>
      <c r="C295" t="s">
        <v>125</v>
      </c>
      <c r="D295" s="88" t="s">
        <v>280</v>
      </c>
    </row>
    <row r="296" spans="1:4" x14ac:dyDescent="0.2">
      <c r="A296" s="91">
        <v>2093017</v>
      </c>
      <c r="B296" s="91" t="s">
        <v>116</v>
      </c>
      <c r="C296" t="s">
        <v>125</v>
      </c>
      <c r="D296" s="88" t="s">
        <v>280</v>
      </c>
    </row>
    <row r="297" spans="1:4" x14ac:dyDescent="0.2">
      <c r="A297" s="91">
        <v>2093034</v>
      </c>
      <c r="B297" s="91" t="s">
        <v>433</v>
      </c>
      <c r="C297" t="s">
        <v>451</v>
      </c>
      <c r="D297" s="88" t="s">
        <v>280</v>
      </c>
    </row>
    <row r="298" spans="1:4" x14ac:dyDescent="0.2">
      <c r="A298" s="91">
        <v>2093041</v>
      </c>
      <c r="B298" s="91" t="s">
        <v>434</v>
      </c>
      <c r="C298" t="s">
        <v>453</v>
      </c>
      <c r="D298" s="88" t="s">
        <v>280</v>
      </c>
    </row>
    <row r="299" spans="1:4" x14ac:dyDescent="0.2">
      <c r="A299" s="91">
        <v>2093092</v>
      </c>
      <c r="B299" s="91" t="s">
        <v>435</v>
      </c>
      <c r="C299" t="s">
        <v>453</v>
      </c>
      <c r="D299" s="88" t="s">
        <v>281</v>
      </c>
    </row>
    <row r="300" spans="1:4" x14ac:dyDescent="0.2">
      <c r="A300" s="91">
        <v>2093110</v>
      </c>
      <c r="B300" s="91" t="s">
        <v>6</v>
      </c>
      <c r="C300" t="s">
        <v>126</v>
      </c>
      <c r="D300" s="88" t="s">
        <v>280</v>
      </c>
    </row>
    <row r="301" spans="1:4" x14ac:dyDescent="0.2">
      <c r="A301" s="91">
        <v>2093123</v>
      </c>
      <c r="B301" s="91" t="s">
        <v>436</v>
      </c>
      <c r="C301" t="s">
        <v>451</v>
      </c>
      <c r="D301" s="88" t="s">
        <v>280</v>
      </c>
    </row>
    <row r="302" spans="1:4" x14ac:dyDescent="0.2">
      <c r="A302" s="91">
        <v>2093130</v>
      </c>
      <c r="B302" s="91" t="s">
        <v>437</v>
      </c>
      <c r="C302" t="s">
        <v>451</v>
      </c>
      <c r="D302" s="88" t="s">
        <v>281</v>
      </c>
    </row>
    <row r="303" spans="1:4" x14ac:dyDescent="0.2">
      <c r="A303" s="91">
        <v>2093137</v>
      </c>
      <c r="B303" s="91" t="s">
        <v>438</v>
      </c>
      <c r="C303" t="s">
        <v>450</v>
      </c>
      <c r="D303" s="88" t="s">
        <v>281</v>
      </c>
    </row>
    <row r="304" spans="1:4" x14ac:dyDescent="0.2">
      <c r="A304" s="91">
        <v>2093223</v>
      </c>
      <c r="B304" s="91" t="s">
        <v>117</v>
      </c>
      <c r="C304" t="s">
        <v>126</v>
      </c>
      <c r="D304" s="88" t="s">
        <v>281</v>
      </c>
    </row>
    <row r="305" spans="1:35" x14ac:dyDescent="0.2">
      <c r="A305" s="91">
        <v>2093259</v>
      </c>
      <c r="B305" s="91" t="s">
        <v>439</v>
      </c>
      <c r="C305" t="s">
        <v>453</v>
      </c>
      <c r="D305" s="88" t="s">
        <v>280</v>
      </c>
    </row>
    <row r="306" spans="1:35" x14ac:dyDescent="0.2">
      <c r="A306" s="91">
        <v>2093373</v>
      </c>
      <c r="B306" s="91" t="s">
        <v>118</v>
      </c>
      <c r="C306" t="s">
        <v>126</v>
      </c>
      <c r="D306" s="88" t="s">
        <v>280</v>
      </c>
    </row>
    <row r="307" spans="1:35" x14ac:dyDescent="0.2">
      <c r="A307" s="91">
        <v>2093375</v>
      </c>
      <c r="B307" s="91" t="s">
        <v>44</v>
      </c>
      <c r="C307" t="s">
        <v>451</v>
      </c>
      <c r="D307" s="88" t="s">
        <v>280</v>
      </c>
    </row>
    <row r="308" spans="1:35" x14ac:dyDescent="0.2">
      <c r="A308" s="91">
        <v>2093377</v>
      </c>
      <c r="B308" s="91" t="s">
        <v>440</v>
      </c>
      <c r="C308" t="s">
        <v>453</v>
      </c>
      <c r="D308" s="88" t="s">
        <v>282</v>
      </c>
    </row>
    <row r="309" spans="1:35" x14ac:dyDescent="0.2">
      <c r="A309" s="91">
        <v>2093389</v>
      </c>
      <c r="B309" s="91" t="s">
        <v>45</v>
      </c>
      <c r="C309" t="s">
        <v>125</v>
      </c>
      <c r="D309" s="88" t="s">
        <v>281</v>
      </c>
    </row>
    <row r="310" spans="1:35" x14ac:dyDescent="0.2">
      <c r="A310" s="91">
        <v>2093457</v>
      </c>
      <c r="B310" s="91" t="s">
        <v>46</v>
      </c>
      <c r="C310" t="s">
        <v>125</v>
      </c>
      <c r="D310" s="88" t="s">
        <v>281</v>
      </c>
    </row>
    <row r="311" spans="1:35" x14ac:dyDescent="0.2">
      <c r="A311" s="91">
        <v>2093564</v>
      </c>
      <c r="B311" s="91" t="s">
        <v>105</v>
      </c>
      <c r="C311" t="s">
        <v>126</v>
      </c>
      <c r="D311" s="88" t="s">
        <v>281</v>
      </c>
    </row>
    <row r="312" spans="1:35" x14ac:dyDescent="0.2">
      <c r="A312" s="91">
        <v>2093570</v>
      </c>
      <c r="B312" s="91" t="s">
        <v>106</v>
      </c>
      <c r="C312" t="s">
        <v>127</v>
      </c>
      <c r="D312" s="88" t="s">
        <v>281</v>
      </c>
    </row>
    <row r="313" spans="1:35" x14ac:dyDescent="0.2">
      <c r="A313" s="91">
        <v>2093669</v>
      </c>
      <c r="B313" s="91" t="s">
        <v>119</v>
      </c>
      <c r="C313" t="s">
        <v>125</v>
      </c>
      <c r="D313" s="88" t="s">
        <v>280</v>
      </c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</row>
    <row r="314" spans="1:35" x14ac:dyDescent="0.2">
      <c r="A314" s="91">
        <v>2093677</v>
      </c>
      <c r="B314" s="91" t="s">
        <v>441</v>
      </c>
      <c r="C314" s="91" t="s">
        <v>450</v>
      </c>
      <c r="D314" s="91" t="s">
        <v>282</v>
      </c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</row>
    <row r="315" spans="1:35" x14ac:dyDescent="0.2">
      <c r="A315" s="91">
        <v>2093678</v>
      </c>
      <c r="B315" s="91" t="s">
        <v>121</v>
      </c>
      <c r="C315" t="s">
        <v>126</v>
      </c>
      <c r="D315" s="88" t="s">
        <v>282</v>
      </c>
    </row>
    <row r="316" spans="1:35" x14ac:dyDescent="0.2">
      <c r="A316" s="91">
        <v>2093727</v>
      </c>
      <c r="B316" s="91" t="s">
        <v>442</v>
      </c>
      <c r="C316" t="s">
        <v>453</v>
      </c>
      <c r="D316" s="88" t="s">
        <v>280</v>
      </c>
    </row>
    <row r="317" spans="1:35" x14ac:dyDescent="0.2">
      <c r="A317" s="91">
        <v>2093747</v>
      </c>
      <c r="B317" s="91" t="s">
        <v>120</v>
      </c>
      <c r="C317" t="s">
        <v>125</v>
      </c>
      <c r="D317" s="88" t="s">
        <v>282</v>
      </c>
    </row>
    <row r="318" spans="1:35" x14ac:dyDescent="0.2">
      <c r="A318" s="91">
        <v>2093749</v>
      </c>
      <c r="B318" s="91" t="s">
        <v>443</v>
      </c>
      <c r="C318" t="s">
        <v>452</v>
      </c>
      <c r="D318" s="88" t="s">
        <v>281</v>
      </c>
    </row>
    <row r="319" spans="1:35" x14ac:dyDescent="0.2">
      <c r="A319" s="91">
        <v>2093808</v>
      </c>
      <c r="B319" s="91" t="s">
        <v>444</v>
      </c>
      <c r="C319" t="s">
        <v>452</v>
      </c>
      <c r="D319" s="88" t="s">
        <v>280</v>
      </c>
    </row>
    <row r="320" spans="1:35" x14ac:dyDescent="0.2">
      <c r="A320" s="91">
        <v>2093815</v>
      </c>
      <c r="B320" s="91" t="s">
        <v>103</v>
      </c>
      <c r="C320" t="s">
        <v>127</v>
      </c>
      <c r="D320" s="88" t="s">
        <v>281</v>
      </c>
    </row>
    <row r="321" spans="1:4" x14ac:dyDescent="0.2">
      <c r="A321" s="91">
        <v>209003824</v>
      </c>
      <c r="B321" s="91" t="s">
        <v>445</v>
      </c>
      <c r="C321" t="s">
        <v>450</v>
      </c>
      <c r="D321" s="88" t="s">
        <v>280</v>
      </c>
    </row>
    <row r="322" spans="1:4" x14ac:dyDescent="0.2">
      <c r="A322" s="91">
        <v>209003825</v>
      </c>
      <c r="B322" s="91" t="s">
        <v>446</v>
      </c>
      <c r="C322" t="s">
        <v>450</v>
      </c>
      <c r="D322" s="88" t="s">
        <v>280</v>
      </c>
    </row>
    <row r="323" spans="1:4" x14ac:dyDescent="0.2">
      <c r="A323" s="91">
        <v>209003827</v>
      </c>
      <c r="B323" s="91" t="s">
        <v>447</v>
      </c>
      <c r="C323" t="s">
        <v>451</v>
      </c>
      <c r="D323" s="88" t="s">
        <v>280</v>
      </c>
    </row>
    <row r="324" spans="1:4" x14ac:dyDescent="0.2">
      <c r="A324" s="91">
        <v>209003838</v>
      </c>
      <c r="B324" s="91" t="s">
        <v>448</v>
      </c>
      <c r="C324" t="s">
        <v>453</v>
      </c>
      <c r="D324" s="88" t="s">
        <v>280</v>
      </c>
    </row>
    <row r="325" spans="1:4" x14ac:dyDescent="0.2">
      <c r="A325" s="91">
        <v>209003840</v>
      </c>
      <c r="B325" s="91" t="s">
        <v>323</v>
      </c>
      <c r="C325" t="s">
        <v>127</v>
      </c>
      <c r="D325" s="88" t="s">
        <v>282</v>
      </c>
    </row>
    <row r="326" spans="1:4" x14ac:dyDescent="0.2">
      <c r="A326" s="91">
        <v>209003847</v>
      </c>
      <c r="B326" s="91" t="s">
        <v>449</v>
      </c>
      <c r="C326" t="s">
        <v>452</v>
      </c>
      <c r="D326" s="88" t="s">
        <v>281</v>
      </c>
    </row>
  </sheetData>
  <conditionalFormatting sqref="E2:AI2">
    <cfRule type="cellIs" dxfId="11" priority="15" operator="between">
      <formula>1</formula>
      <formula>100</formula>
    </cfRule>
  </conditionalFormatting>
  <conditionalFormatting sqref="E3:AI108">
    <cfRule type="cellIs" dxfId="10" priority="1" operator="lessThan">
      <formula>1</formula>
    </cfRule>
  </conditionalFormatting>
  <conditionalFormatting sqref="E111:AI111">
    <cfRule type="cellIs" dxfId="9" priority="7" operator="between">
      <formula>1</formula>
      <formula>100</formula>
    </cfRule>
  </conditionalFormatting>
  <conditionalFormatting sqref="E112:AI217">
    <cfRule type="cellIs" dxfId="8" priority="2" operator="lessThan">
      <formula>1</formula>
    </cfRule>
  </conditionalFormatting>
  <conditionalFormatting sqref="E220:AI220">
    <cfRule type="cellIs" dxfId="7" priority="5" operator="between">
      <formula>1</formula>
      <formula>100</formula>
    </cfRule>
  </conditionalFormatting>
  <conditionalFormatting sqref="E221:AI326">
    <cfRule type="cellIs" dxfId="6" priority="3" operator="less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3F86-303B-4950-9D3D-43A991AE6B4E}">
  <dimension ref="A1:AE72"/>
  <sheetViews>
    <sheetView workbookViewId="0">
      <selection activeCell="B2" sqref="B2"/>
    </sheetView>
  </sheetViews>
  <sheetFormatPr defaultColWidth="10.76171875" defaultRowHeight="15" x14ac:dyDescent="0.2"/>
  <cols>
    <col min="2" max="2" width="11.43359375" bestFit="1" customWidth="1"/>
    <col min="27" max="27" width="12.5078125" bestFit="1" customWidth="1"/>
  </cols>
  <sheetData>
    <row r="1" spans="1:31" x14ac:dyDescent="0.2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279</v>
      </c>
      <c r="I1" t="s">
        <v>493</v>
      </c>
      <c r="J1" t="s">
        <v>494</v>
      </c>
      <c r="K1" t="s">
        <v>495</v>
      </c>
      <c r="L1" t="s">
        <v>496</v>
      </c>
      <c r="M1" t="s">
        <v>497</v>
      </c>
      <c r="N1" t="s">
        <v>498</v>
      </c>
      <c r="O1" t="s">
        <v>499</v>
      </c>
      <c r="P1" t="s">
        <v>500</v>
      </c>
      <c r="Q1" t="s">
        <v>501</v>
      </c>
      <c r="R1" t="s">
        <v>502</v>
      </c>
      <c r="S1" t="s">
        <v>503</v>
      </c>
      <c r="T1" t="s">
        <v>504</v>
      </c>
      <c r="U1" t="s">
        <v>505</v>
      </c>
      <c r="V1" t="s">
        <v>506</v>
      </c>
      <c r="W1" t="s">
        <v>507</v>
      </c>
      <c r="X1" t="s">
        <v>508</v>
      </c>
      <c r="Y1" t="s">
        <v>509</v>
      </c>
      <c r="Z1" t="s">
        <v>510</v>
      </c>
      <c r="AA1" t="s">
        <v>511</v>
      </c>
      <c r="AB1" t="s">
        <v>512</v>
      </c>
      <c r="AC1" t="s">
        <v>513</v>
      </c>
      <c r="AD1" t="s">
        <v>514</v>
      </c>
      <c r="AE1" t="s">
        <v>515</v>
      </c>
    </row>
    <row r="2" spans="1:31" x14ac:dyDescent="0.2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</row>
    <row r="3" spans="1:31" x14ac:dyDescent="0.2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</row>
    <row r="4" spans="1:31" x14ac:dyDescent="0.2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</row>
    <row r="5" spans="1:31" x14ac:dyDescent="0.2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</row>
    <row r="6" spans="1:31" x14ac:dyDescent="0.2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</row>
    <row r="7" spans="1:31" x14ac:dyDescent="0.2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</row>
    <row r="8" spans="1:31" x14ac:dyDescent="0.2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</row>
    <row r="9" spans="1:31" x14ac:dyDescent="0.2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</row>
    <row r="10" spans="1:31" x14ac:dyDescent="0.2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</row>
    <row r="11" spans="1:31" x14ac:dyDescent="0.2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</row>
    <row r="12" spans="1:31" x14ac:dyDescent="0.2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</row>
    <row r="13" spans="1:31" x14ac:dyDescent="0.2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</row>
    <row r="14" spans="1:31" x14ac:dyDescent="0.2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</row>
    <row r="15" spans="1:31" x14ac:dyDescent="0.2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</row>
    <row r="16" spans="1:31" x14ac:dyDescent="0.2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</row>
    <row r="17" spans="1:31" x14ac:dyDescent="0.2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</row>
    <row r="18" spans="1:31" x14ac:dyDescent="0.2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</row>
    <row r="19" spans="1:31" x14ac:dyDescent="0.2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</row>
    <row r="20" spans="1:31" x14ac:dyDescent="0.2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</row>
    <row r="21" spans="1:31" x14ac:dyDescent="0.2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</row>
    <row r="22" spans="1:31" x14ac:dyDescent="0.2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</row>
    <row r="23" spans="1:31" x14ac:dyDescent="0.2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</row>
    <row r="24" spans="1:31" x14ac:dyDescent="0.2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</row>
    <row r="25" spans="1:31" x14ac:dyDescent="0.2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x14ac:dyDescent="0.2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x14ac:dyDescent="0.2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x14ac:dyDescent="0.2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1:31" x14ac:dyDescent="0.2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x14ac:dyDescent="0.2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x14ac:dyDescent="0.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  <row r="33" spans="1:31" x14ac:dyDescent="0.2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</row>
    <row r="34" spans="1:31" x14ac:dyDescent="0.2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</row>
    <row r="35" spans="1:31" x14ac:dyDescent="0.2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x14ac:dyDescent="0.2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</row>
    <row r="37" spans="1:31" x14ac:dyDescent="0.2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</row>
    <row r="38" spans="1:31" x14ac:dyDescent="0.2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</row>
    <row r="39" spans="1:31" x14ac:dyDescent="0.2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</row>
    <row r="40" spans="1:31" x14ac:dyDescent="0.2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</row>
    <row r="41" spans="1:31" x14ac:dyDescent="0.2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</row>
    <row r="42" spans="1:31" x14ac:dyDescent="0.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</row>
    <row r="43" spans="1:31" x14ac:dyDescent="0.2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</row>
    <row r="44" spans="1:31" x14ac:dyDescent="0.2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</row>
    <row r="45" spans="1:31" x14ac:dyDescent="0.2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</row>
    <row r="46" spans="1:31" x14ac:dyDescent="0.2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</row>
    <row r="47" spans="1:31" x14ac:dyDescent="0.2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</row>
    <row r="48" spans="1:31" x14ac:dyDescent="0.2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</row>
    <row r="49" spans="1:31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</row>
    <row r="50" spans="1:31" x14ac:dyDescent="0.2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</row>
    <row r="51" spans="1:31" x14ac:dyDescent="0.2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</row>
    <row r="52" spans="1:31" x14ac:dyDescent="0.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</row>
    <row r="53" spans="1:3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</row>
    <row r="54" spans="1:31" x14ac:dyDescent="0.2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</row>
    <row r="55" spans="1:31" x14ac:dyDescent="0.2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</row>
    <row r="56" spans="1:31" x14ac:dyDescent="0.2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</row>
    <row r="57" spans="1:31" x14ac:dyDescent="0.2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</row>
    <row r="58" spans="1:31" x14ac:dyDescent="0.2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</row>
    <row r="59" spans="1:31" x14ac:dyDescent="0.2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</row>
    <row r="60" spans="1:31" x14ac:dyDescent="0.2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</row>
    <row r="61" spans="1:31" x14ac:dyDescent="0.2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</row>
    <row r="62" spans="1:31" x14ac:dyDescent="0.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</row>
    <row r="63" spans="1:31" x14ac:dyDescent="0.2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</row>
    <row r="64" spans="1:31" x14ac:dyDescent="0.2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</row>
    <row r="65" spans="1:31" x14ac:dyDescent="0.2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</row>
    <row r="66" spans="1:31" x14ac:dyDescent="0.2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</row>
    <row r="67" spans="1:31" x14ac:dyDescent="0.2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</row>
    <row r="68" spans="1:31" x14ac:dyDescent="0.2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</row>
    <row r="69" spans="1:31" x14ac:dyDescent="0.2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</row>
    <row r="70" spans="1:31" x14ac:dyDescent="0.2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</row>
    <row r="71" spans="1:3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</row>
  </sheetData>
  <autoFilter ref="A1:AE72" xr:uid="{F84C3F86-303B-4950-9D3D-43A991AE6B4E}">
    <sortState xmlns:xlrd2="http://schemas.microsoft.com/office/spreadsheetml/2017/richdata2" ref="A2:AE72">
      <sortCondition descending="1" ref="AA1:AA7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5BAB-B7FB-46EC-98D1-3C69D97EC869}">
  <dimension ref="A1:AI21"/>
  <sheetViews>
    <sheetView showGridLines="0" zoomScale="80" zoomScaleNormal="80" workbookViewId="0">
      <pane xSplit="4" topLeftCell="E1" activePane="topRight" state="frozen"/>
      <selection pane="topRight" activeCell="D9" sqref="D9"/>
    </sheetView>
  </sheetViews>
  <sheetFormatPr defaultColWidth="10.76171875" defaultRowHeight="15" x14ac:dyDescent="0.2"/>
  <cols>
    <col min="1" max="1" width="12.5078125" bestFit="1" customWidth="1"/>
    <col min="2" max="3" width="10.625" customWidth="1"/>
    <col min="4" max="4" width="10.22265625" customWidth="1"/>
    <col min="5" max="35" width="6.3203125" customWidth="1"/>
  </cols>
  <sheetData>
    <row r="1" spans="1:35" x14ac:dyDescent="0.2">
      <c r="D1" s="16"/>
    </row>
    <row r="2" spans="1:35" x14ac:dyDescent="0.2">
      <c r="E2" s="23" t="s">
        <v>370</v>
      </c>
      <c r="F2" s="23" t="s">
        <v>369</v>
      </c>
      <c r="G2" s="23" t="s">
        <v>368</v>
      </c>
      <c r="H2" s="23" t="s">
        <v>374</v>
      </c>
      <c r="I2" s="23" t="s">
        <v>373</v>
      </c>
      <c r="J2" s="23" t="s">
        <v>372</v>
      </c>
      <c r="K2" s="23" t="s">
        <v>371</v>
      </c>
      <c r="L2" s="23" t="s">
        <v>370</v>
      </c>
      <c r="M2" s="23" t="s">
        <v>369</v>
      </c>
      <c r="N2" s="23" t="s">
        <v>368</v>
      </c>
      <c r="O2" s="23" t="s">
        <v>374</v>
      </c>
      <c r="P2" s="23" t="s">
        <v>373</v>
      </c>
      <c r="Q2" s="23" t="s">
        <v>372</v>
      </c>
      <c r="R2" s="23" t="s">
        <v>371</v>
      </c>
      <c r="S2" s="23" t="s">
        <v>370</v>
      </c>
      <c r="T2" s="23" t="s">
        <v>369</v>
      </c>
      <c r="U2" s="23" t="s">
        <v>368</v>
      </c>
      <c r="V2" s="23" t="s">
        <v>374</v>
      </c>
      <c r="W2" s="23" t="s">
        <v>373</v>
      </c>
      <c r="X2" s="23" t="s">
        <v>372</v>
      </c>
      <c r="Y2" s="23" t="s">
        <v>371</v>
      </c>
      <c r="Z2" s="23" t="s">
        <v>370</v>
      </c>
      <c r="AA2" s="23" t="s">
        <v>369</v>
      </c>
      <c r="AB2" s="23" t="s">
        <v>368</v>
      </c>
      <c r="AC2" s="23" t="s">
        <v>374</v>
      </c>
      <c r="AD2" s="23" t="s">
        <v>373</v>
      </c>
      <c r="AE2" s="23" t="s">
        <v>372</v>
      </c>
      <c r="AF2" s="23" t="s">
        <v>371</v>
      </c>
      <c r="AG2" s="23" t="s">
        <v>370</v>
      </c>
      <c r="AH2" s="23" t="s">
        <v>369</v>
      </c>
      <c r="AI2" s="23" t="s">
        <v>368</v>
      </c>
    </row>
    <row r="3" spans="1:35" ht="25.5" x14ac:dyDescent="0.2">
      <c r="B3" s="100" t="s">
        <v>367</v>
      </c>
      <c r="C3" s="100" t="s">
        <v>366</v>
      </c>
      <c r="D3" s="100" t="s">
        <v>272</v>
      </c>
      <c r="E3" s="110">
        <v>1</v>
      </c>
      <c r="F3" s="110">
        <v>2</v>
      </c>
      <c r="G3" s="110">
        <v>3</v>
      </c>
      <c r="H3" s="110">
        <v>4</v>
      </c>
      <c r="I3" s="110">
        <v>5</v>
      </c>
      <c r="J3" s="110">
        <v>6</v>
      </c>
      <c r="K3" s="110">
        <v>7</v>
      </c>
      <c r="L3" s="110">
        <v>8</v>
      </c>
      <c r="M3" s="110">
        <v>9</v>
      </c>
      <c r="N3" s="110">
        <v>10</v>
      </c>
      <c r="O3" s="110">
        <v>11</v>
      </c>
      <c r="P3" s="110">
        <v>12</v>
      </c>
      <c r="Q3" s="110">
        <v>13</v>
      </c>
      <c r="R3" s="110">
        <v>14</v>
      </c>
      <c r="S3" s="110">
        <v>15</v>
      </c>
      <c r="T3" s="110">
        <v>16</v>
      </c>
      <c r="U3" s="110">
        <v>17</v>
      </c>
      <c r="V3" s="110">
        <v>18</v>
      </c>
      <c r="W3" s="110">
        <v>19</v>
      </c>
      <c r="X3" s="110">
        <v>20</v>
      </c>
      <c r="Y3" s="110">
        <v>21</v>
      </c>
      <c r="Z3" s="110">
        <v>22</v>
      </c>
      <c r="AA3" s="110">
        <v>23</v>
      </c>
      <c r="AB3" s="110">
        <v>24</v>
      </c>
      <c r="AC3" s="110">
        <v>25</v>
      </c>
      <c r="AD3" s="110">
        <v>26</v>
      </c>
      <c r="AE3" s="110">
        <v>27</v>
      </c>
      <c r="AF3" s="110">
        <v>28</v>
      </c>
      <c r="AG3" s="110">
        <v>29</v>
      </c>
      <c r="AH3" s="110">
        <v>30</v>
      </c>
      <c r="AI3" s="110">
        <v>31</v>
      </c>
    </row>
    <row r="4" spans="1:35" x14ac:dyDescent="0.2">
      <c r="A4" s="101" t="s">
        <v>365</v>
      </c>
      <c r="B4" s="67">
        <f>+Cuota!DR5</f>
        <v>79.469291068473609</v>
      </c>
      <c r="C4" s="152">
        <f>IFERROR(B5/B4,0)</f>
        <v>0</v>
      </c>
      <c r="D4" s="153">
        <f>+B5-B4</f>
        <v>-79.469291068473609</v>
      </c>
      <c r="E4" s="33">
        <v>79.469291068473609</v>
      </c>
      <c r="F4" s="33">
        <v>68.061584765192364</v>
      </c>
      <c r="G4" s="33">
        <v>63.917916125161469</v>
      </c>
      <c r="H4" s="33">
        <v>62.467996474049656</v>
      </c>
      <c r="I4" s="33">
        <v>70.971152790931995</v>
      </c>
      <c r="J4" s="33">
        <v>104.33543476811127</v>
      </c>
      <c r="K4" s="33">
        <v>134.77662400807969</v>
      </c>
      <c r="L4" s="33">
        <v>72.561192634504351</v>
      </c>
      <c r="M4" s="33">
        <v>62.237899458462678</v>
      </c>
      <c r="N4" s="33">
        <v>56.336742952105105</v>
      </c>
      <c r="O4" s="33">
        <v>56.375967820323822</v>
      </c>
      <c r="P4" s="33">
        <v>74.870320811157953</v>
      </c>
      <c r="Q4" s="33">
        <v>118.43394593023513</v>
      </c>
      <c r="R4" s="33">
        <v>145.18393039321103</v>
      </c>
      <c r="S4" s="33">
        <v>78.220827817147367</v>
      </c>
      <c r="T4" s="33">
        <v>63.782483894985418</v>
      </c>
      <c r="U4" s="33">
        <v>57.37669656608756</v>
      </c>
      <c r="V4" s="33">
        <v>53.681805937405208</v>
      </c>
      <c r="W4" s="33">
        <v>64.244915292255115</v>
      </c>
      <c r="X4" s="33">
        <v>110.01518510440991</v>
      </c>
      <c r="Y4" s="33">
        <v>121.67808538770933</v>
      </c>
      <c r="Z4" s="33">
        <v>68.202808103089637</v>
      </c>
      <c r="AA4" s="33">
        <v>57.350003648901755</v>
      </c>
      <c r="AB4" s="33">
        <v>53.53171142224322</v>
      </c>
      <c r="AC4" s="33">
        <v>50.580323033216466</v>
      </c>
      <c r="AD4" s="33">
        <v>64.777575742873921</v>
      </c>
      <c r="AE4" s="33">
        <v>113.22174981557313</v>
      </c>
      <c r="AF4" s="33">
        <v>126.33582823410167</v>
      </c>
      <c r="AG4" s="33">
        <v>87.567903003055946</v>
      </c>
      <c r="AH4" s="33">
        <v>76.432096996944054</v>
      </c>
      <c r="AI4" s="80">
        <v>102.94225598250218</v>
      </c>
    </row>
    <row r="5" spans="1:35" x14ac:dyDescent="0.2">
      <c r="A5" s="101" t="s">
        <v>364</v>
      </c>
      <c r="B5" s="68">
        <f>+SUM(E5:AI5)</f>
        <v>0</v>
      </c>
      <c r="C5" s="152"/>
      <c r="D5" s="154"/>
      <c r="E5" s="23">
        <f>+Altas!E1</f>
        <v>0</v>
      </c>
      <c r="F5" s="23">
        <f>+Altas!F1</f>
        <v>0</v>
      </c>
      <c r="G5" s="23">
        <f>+Altas!G1</f>
        <v>0</v>
      </c>
      <c r="H5" s="23">
        <f>+Altas!H1</f>
        <v>0</v>
      </c>
      <c r="I5" s="23">
        <f>+Altas!I1</f>
        <v>0</v>
      </c>
      <c r="J5" s="23">
        <f>+Altas!J1</f>
        <v>0</v>
      </c>
      <c r="K5" s="23">
        <f>+Altas!K1</f>
        <v>0</v>
      </c>
      <c r="L5" s="23">
        <f>+Altas!L1</f>
        <v>0</v>
      </c>
      <c r="M5" s="23">
        <f>+Altas!M1</f>
        <v>0</v>
      </c>
      <c r="N5" s="23">
        <f>+Altas!N1</f>
        <v>0</v>
      </c>
      <c r="O5" s="23">
        <f>+Altas!O1</f>
        <v>0</v>
      </c>
      <c r="P5" s="23">
        <f>+Altas!P1</f>
        <v>0</v>
      </c>
      <c r="Q5" s="23">
        <f>+Altas!Q1</f>
        <v>0</v>
      </c>
      <c r="R5" s="23">
        <f>+Altas!R1</f>
        <v>0</v>
      </c>
      <c r="S5" s="23">
        <f>+Altas!S1</f>
        <v>0</v>
      </c>
      <c r="T5" s="23">
        <f>+Altas!T1</f>
        <v>0</v>
      </c>
      <c r="U5" s="23">
        <f>+Altas!U1</f>
        <v>0</v>
      </c>
      <c r="V5" s="23">
        <f>+Altas!V1</f>
        <v>0</v>
      </c>
      <c r="W5" s="23">
        <f>+Altas!W1</f>
        <v>0</v>
      </c>
      <c r="X5" s="23">
        <f>+Altas!X1</f>
        <v>0</v>
      </c>
      <c r="Y5" s="23">
        <f>+Altas!Y1</f>
        <v>0</v>
      </c>
      <c r="Z5" s="23">
        <f>+Altas!Z1</f>
        <v>0</v>
      </c>
      <c r="AA5" s="23">
        <f>+Altas!AA1</f>
        <v>0</v>
      </c>
      <c r="AB5" s="23">
        <f>+Altas!AB1</f>
        <v>0</v>
      </c>
      <c r="AC5" s="23">
        <f>+Altas!AC1</f>
        <v>0</v>
      </c>
      <c r="AD5" s="23">
        <f>+Altas!AD1</f>
        <v>0</v>
      </c>
      <c r="AE5" s="23">
        <f>+Altas!AE1</f>
        <v>0</v>
      </c>
      <c r="AF5" s="23">
        <f>+Altas!AF1</f>
        <v>0</v>
      </c>
      <c r="AG5" s="23">
        <f>+Altas!AG1</f>
        <v>0</v>
      </c>
      <c r="AH5" s="23">
        <f>+Altas!AH1</f>
        <v>0</v>
      </c>
      <c r="AI5" s="23">
        <f>+Altas!AI1</f>
        <v>0</v>
      </c>
    </row>
    <row r="6" spans="1:35" x14ac:dyDescent="0.2">
      <c r="A6" s="25"/>
      <c r="C6" s="64"/>
      <c r="E6" s="66">
        <f t="shared" ref="E6:AI6" si="0">+E5/E4</f>
        <v>0</v>
      </c>
      <c r="F6" s="66">
        <f t="shared" si="0"/>
        <v>0</v>
      </c>
      <c r="G6" s="66">
        <f t="shared" si="0"/>
        <v>0</v>
      </c>
      <c r="H6" s="66">
        <f t="shared" si="0"/>
        <v>0</v>
      </c>
      <c r="I6" s="66">
        <f t="shared" si="0"/>
        <v>0</v>
      </c>
      <c r="J6" s="66">
        <f t="shared" si="0"/>
        <v>0</v>
      </c>
      <c r="K6" s="66">
        <f t="shared" si="0"/>
        <v>0</v>
      </c>
      <c r="L6" s="66">
        <f t="shared" si="0"/>
        <v>0</v>
      </c>
      <c r="M6" s="66">
        <f t="shared" si="0"/>
        <v>0</v>
      </c>
      <c r="N6" s="66">
        <f t="shared" si="0"/>
        <v>0</v>
      </c>
      <c r="O6" s="66">
        <f t="shared" si="0"/>
        <v>0</v>
      </c>
      <c r="P6" s="66">
        <f t="shared" si="0"/>
        <v>0</v>
      </c>
      <c r="Q6" s="66">
        <f t="shared" si="0"/>
        <v>0</v>
      </c>
      <c r="R6" s="66">
        <f t="shared" si="0"/>
        <v>0</v>
      </c>
      <c r="S6" s="66">
        <f t="shared" si="0"/>
        <v>0</v>
      </c>
      <c r="T6" s="66">
        <f t="shared" si="0"/>
        <v>0</v>
      </c>
      <c r="U6" s="66">
        <f t="shared" si="0"/>
        <v>0</v>
      </c>
      <c r="V6" s="66">
        <f t="shared" si="0"/>
        <v>0</v>
      </c>
      <c r="W6" s="66">
        <f t="shared" si="0"/>
        <v>0</v>
      </c>
      <c r="X6" s="66">
        <f t="shared" si="0"/>
        <v>0</v>
      </c>
      <c r="Y6" s="66">
        <f t="shared" si="0"/>
        <v>0</v>
      </c>
      <c r="Z6" s="66">
        <f t="shared" si="0"/>
        <v>0</v>
      </c>
      <c r="AA6" s="66">
        <f t="shared" si="0"/>
        <v>0</v>
      </c>
      <c r="AB6" s="66">
        <f t="shared" si="0"/>
        <v>0</v>
      </c>
      <c r="AC6" s="66">
        <f t="shared" si="0"/>
        <v>0</v>
      </c>
      <c r="AD6" s="66">
        <f t="shared" si="0"/>
        <v>0</v>
      </c>
      <c r="AE6" s="66">
        <f t="shared" si="0"/>
        <v>0</v>
      </c>
      <c r="AF6" s="66">
        <f t="shared" si="0"/>
        <v>0</v>
      </c>
      <c r="AG6" s="66">
        <f t="shared" si="0"/>
        <v>0</v>
      </c>
      <c r="AH6" s="66">
        <f t="shared" si="0"/>
        <v>0</v>
      </c>
      <c r="AI6" s="66">
        <f t="shared" si="0"/>
        <v>0</v>
      </c>
    </row>
    <row r="7" spans="1:35" x14ac:dyDescent="0.2">
      <c r="A7" s="102" t="s">
        <v>363</v>
      </c>
      <c r="B7" s="67">
        <f>+Cuota!DS5</f>
        <v>39.826684206244096</v>
      </c>
      <c r="C7" s="152">
        <f>IFERROR(B8/B7,0)</f>
        <v>0</v>
      </c>
      <c r="D7" s="153">
        <f>+B8-B7</f>
        <v>-39.826684206244096</v>
      </c>
      <c r="E7" s="33">
        <v>39.826684206244096</v>
      </c>
      <c r="F7" s="33">
        <v>32.589462447754173</v>
      </c>
      <c r="G7" s="33">
        <v>30.639631581128757</v>
      </c>
      <c r="H7" s="33">
        <v>30.005946425073361</v>
      </c>
      <c r="I7" s="33">
        <v>34.249316871765977</v>
      </c>
      <c r="J7" s="33">
        <v>52.545060972593603</v>
      </c>
      <c r="K7" s="33">
        <v>70.1438974954401</v>
      </c>
      <c r="L7" s="33">
        <v>35.644803192421108</v>
      </c>
      <c r="M7" s="33">
        <v>29.548834409060898</v>
      </c>
      <c r="N7" s="33">
        <v>26.882902884066084</v>
      </c>
      <c r="O7" s="33">
        <v>26.514143469419086</v>
      </c>
      <c r="P7" s="33">
        <v>36.223276914311434</v>
      </c>
      <c r="Q7" s="33">
        <v>59.396121669130608</v>
      </c>
      <c r="R7" s="33">
        <v>75.789917461590719</v>
      </c>
      <c r="S7" s="33">
        <v>38.816637001766424</v>
      </c>
      <c r="T7" s="33">
        <v>30.41202824462373</v>
      </c>
      <c r="U7" s="33">
        <v>27.304951813665852</v>
      </c>
      <c r="V7" s="33">
        <v>25.39214085006995</v>
      </c>
      <c r="W7" s="33">
        <v>30.91847198010495</v>
      </c>
      <c r="X7" s="33">
        <v>55.484122027347027</v>
      </c>
      <c r="Y7" s="33">
        <v>63.671648082422067</v>
      </c>
      <c r="Z7" s="33">
        <v>34.178508350027641</v>
      </c>
      <c r="AA7" s="33">
        <v>27.772957196624642</v>
      </c>
      <c r="AB7" s="33">
        <v>25.80681276815212</v>
      </c>
      <c r="AC7" s="33">
        <v>24.576286796089857</v>
      </c>
      <c r="AD7" s="33">
        <v>31.981239882324424</v>
      </c>
      <c r="AE7" s="33">
        <v>58.716339205729675</v>
      </c>
      <c r="AF7" s="33">
        <v>67.967855801051613</v>
      </c>
      <c r="AG7" s="33">
        <v>41.132832959506253</v>
      </c>
      <c r="AH7" s="33">
        <v>33.867167040493754</v>
      </c>
      <c r="AI7" s="80">
        <v>51.544685935795485</v>
      </c>
    </row>
    <row r="8" spans="1:35" x14ac:dyDescent="0.2">
      <c r="A8" s="102" t="s">
        <v>362</v>
      </c>
      <c r="B8" s="68">
        <f>+SUM(E8:AI8)</f>
        <v>0</v>
      </c>
      <c r="C8" s="152"/>
      <c r="D8" s="154"/>
      <c r="E8" s="23">
        <f>+Altas!E48</f>
        <v>0</v>
      </c>
      <c r="F8" s="23">
        <f>+Altas!F48</f>
        <v>0</v>
      </c>
      <c r="G8" s="23">
        <f>+Altas!G48</f>
        <v>0</v>
      </c>
      <c r="H8" s="23">
        <f>+Altas!H48</f>
        <v>0</v>
      </c>
      <c r="I8" s="23">
        <f>+Altas!I48</f>
        <v>0</v>
      </c>
      <c r="J8" s="23">
        <f>+Altas!J48</f>
        <v>0</v>
      </c>
      <c r="K8" s="23">
        <f>+Altas!K48</f>
        <v>0</v>
      </c>
      <c r="L8" s="23">
        <f>+Altas!L48</f>
        <v>0</v>
      </c>
      <c r="M8" s="23">
        <f>+Altas!M48</f>
        <v>0</v>
      </c>
      <c r="N8" s="23">
        <f>+Altas!N48</f>
        <v>0</v>
      </c>
      <c r="O8" s="23">
        <f>+Altas!O48</f>
        <v>0</v>
      </c>
      <c r="P8" s="23">
        <f>+Altas!P48</f>
        <v>0</v>
      </c>
      <c r="Q8" s="23">
        <f>+Altas!Q48</f>
        <v>0</v>
      </c>
      <c r="R8" s="23">
        <f>+Altas!R48</f>
        <v>0</v>
      </c>
      <c r="S8" s="23">
        <f>+Altas!S48</f>
        <v>0</v>
      </c>
      <c r="T8" s="23">
        <f>+Altas!T48</f>
        <v>0</v>
      </c>
      <c r="U8" s="23">
        <f>+Altas!U48</f>
        <v>0</v>
      </c>
      <c r="V8" s="23">
        <f>+Altas!V48</f>
        <v>0</v>
      </c>
      <c r="W8" s="23">
        <f>+Altas!W48</f>
        <v>0</v>
      </c>
      <c r="X8" s="23">
        <f>+Altas!X48</f>
        <v>0</v>
      </c>
      <c r="Y8" s="23">
        <f>+Altas!Y48</f>
        <v>0</v>
      </c>
      <c r="Z8" s="23">
        <f>+Altas!Z48</f>
        <v>0</v>
      </c>
      <c r="AA8" s="23">
        <f>+Altas!AA48</f>
        <v>0</v>
      </c>
      <c r="AB8" s="23">
        <f>+Altas!AB48</f>
        <v>0</v>
      </c>
      <c r="AC8" s="23">
        <f>+Altas!AC48</f>
        <v>0</v>
      </c>
      <c r="AD8" s="23">
        <f>+Altas!AD48</f>
        <v>0</v>
      </c>
      <c r="AE8" s="23">
        <f>+Altas!AE48</f>
        <v>0</v>
      </c>
      <c r="AF8" s="23">
        <f>+Altas!AF48</f>
        <v>0</v>
      </c>
      <c r="AG8" s="23">
        <f>+Altas!AG48</f>
        <v>0</v>
      </c>
      <c r="AH8" s="23">
        <f>+Altas!AH48</f>
        <v>0</v>
      </c>
      <c r="AI8" s="23">
        <f>+Altas!AI48</f>
        <v>0</v>
      </c>
    </row>
    <row r="9" spans="1:35" x14ac:dyDescent="0.2">
      <c r="A9" s="25"/>
      <c r="C9" s="64"/>
      <c r="E9" s="66">
        <f t="shared" ref="E9:AI9" si="1">+E8/E7</f>
        <v>0</v>
      </c>
      <c r="F9" s="66">
        <f t="shared" si="1"/>
        <v>0</v>
      </c>
      <c r="G9" s="66">
        <f t="shared" si="1"/>
        <v>0</v>
      </c>
      <c r="H9" s="66">
        <f t="shared" si="1"/>
        <v>0</v>
      </c>
      <c r="I9" s="66">
        <f t="shared" si="1"/>
        <v>0</v>
      </c>
      <c r="J9" s="66">
        <f t="shared" si="1"/>
        <v>0</v>
      </c>
      <c r="K9" s="66">
        <f t="shared" si="1"/>
        <v>0</v>
      </c>
      <c r="L9" s="66">
        <f t="shared" si="1"/>
        <v>0</v>
      </c>
      <c r="M9" s="66">
        <f t="shared" si="1"/>
        <v>0</v>
      </c>
      <c r="N9" s="66">
        <f t="shared" si="1"/>
        <v>0</v>
      </c>
      <c r="O9" s="66">
        <f t="shared" si="1"/>
        <v>0</v>
      </c>
      <c r="P9" s="66">
        <f t="shared" si="1"/>
        <v>0</v>
      </c>
      <c r="Q9" s="66">
        <f t="shared" si="1"/>
        <v>0</v>
      </c>
      <c r="R9" s="66">
        <f t="shared" si="1"/>
        <v>0</v>
      </c>
      <c r="S9" s="66">
        <f t="shared" si="1"/>
        <v>0</v>
      </c>
      <c r="T9" s="66">
        <f t="shared" si="1"/>
        <v>0</v>
      </c>
      <c r="U9" s="66">
        <f t="shared" si="1"/>
        <v>0</v>
      </c>
      <c r="V9" s="66">
        <f t="shared" si="1"/>
        <v>0</v>
      </c>
      <c r="W9" s="66">
        <f t="shared" si="1"/>
        <v>0</v>
      </c>
      <c r="X9" s="66">
        <f t="shared" si="1"/>
        <v>0</v>
      </c>
      <c r="Y9" s="66">
        <f t="shared" si="1"/>
        <v>0</v>
      </c>
      <c r="Z9" s="66">
        <f t="shared" si="1"/>
        <v>0</v>
      </c>
      <c r="AA9" s="66">
        <f t="shared" si="1"/>
        <v>0</v>
      </c>
      <c r="AB9" s="66">
        <f t="shared" si="1"/>
        <v>0</v>
      </c>
      <c r="AC9" s="66">
        <f t="shared" si="1"/>
        <v>0</v>
      </c>
      <c r="AD9" s="66">
        <f t="shared" si="1"/>
        <v>0</v>
      </c>
      <c r="AE9" s="66">
        <f t="shared" si="1"/>
        <v>0</v>
      </c>
      <c r="AF9" s="66">
        <f t="shared" si="1"/>
        <v>0</v>
      </c>
      <c r="AG9" s="66">
        <f t="shared" si="1"/>
        <v>0</v>
      </c>
      <c r="AH9" s="66">
        <f t="shared" si="1"/>
        <v>0</v>
      </c>
      <c r="AI9" s="66">
        <f t="shared" si="1"/>
        <v>0</v>
      </c>
    </row>
    <row r="10" spans="1:35" x14ac:dyDescent="0.2">
      <c r="A10" s="103" t="s">
        <v>361</v>
      </c>
      <c r="B10" s="67">
        <f>+Cuota!DT5</f>
        <v>6.6328900457082947</v>
      </c>
      <c r="C10" s="152">
        <f>IFERROR(B11/B10,0)</f>
        <v>0</v>
      </c>
      <c r="D10" s="153">
        <f>+B11-B10</f>
        <v>-6.6328900457082947</v>
      </c>
      <c r="E10" s="33">
        <v>6.6328900457082947</v>
      </c>
      <c r="F10" s="33">
        <v>9.234416207206916</v>
      </c>
      <c r="G10" s="33">
        <v>8.5921395646859064</v>
      </c>
      <c r="H10" s="33">
        <v>8.2538240147152067</v>
      </c>
      <c r="I10" s="33">
        <v>9.005747405618548</v>
      </c>
      <c r="J10" s="33">
        <v>8.1087049719016004</v>
      </c>
      <c r="K10" s="33">
        <v>5.17227779016351</v>
      </c>
      <c r="L10" s="33">
        <v>7.6704192182482629</v>
      </c>
      <c r="M10" s="33">
        <v>8.9535202472091733</v>
      </c>
      <c r="N10" s="33">
        <v>7.7899972526074208</v>
      </c>
      <c r="O10" s="33">
        <v>8.6931918735213713</v>
      </c>
      <c r="P10" s="33">
        <v>9.2024192787606882</v>
      </c>
      <c r="Q10" s="33">
        <v>9.700127557196188</v>
      </c>
      <c r="R10" s="33">
        <v>4.990324572456891</v>
      </c>
      <c r="S10" s="33">
        <v>7.9779216450492223</v>
      </c>
      <c r="T10" s="33">
        <v>9.3525881018461074</v>
      </c>
      <c r="U10" s="33">
        <v>8.5344311771150423</v>
      </c>
      <c r="V10" s="33">
        <v>8.3395858823567437</v>
      </c>
      <c r="W10" s="33">
        <v>8.763618136863851</v>
      </c>
      <c r="X10" s="33">
        <v>9.1771923356383169</v>
      </c>
      <c r="Y10" s="33">
        <v>4.8546627211307207</v>
      </c>
      <c r="Z10" s="33">
        <v>8.2434005446595631</v>
      </c>
      <c r="AA10" s="33">
        <v>9.0788917665305533</v>
      </c>
      <c r="AB10" s="33">
        <v>8.7343844384297284</v>
      </c>
      <c r="AC10" s="33">
        <v>7.8257876107038271</v>
      </c>
      <c r="AD10" s="33">
        <v>8.8971126713706497</v>
      </c>
      <c r="AE10" s="33">
        <v>9.2931458220738747</v>
      </c>
      <c r="AF10" s="33">
        <v>4.9272771462317868</v>
      </c>
      <c r="AG10" s="33">
        <v>22.567909885706939</v>
      </c>
      <c r="AH10" s="33">
        <v>23.432090114293008</v>
      </c>
      <c r="AI10" s="80">
        <v>15.605897938233475</v>
      </c>
    </row>
    <row r="11" spans="1:35" x14ac:dyDescent="0.2">
      <c r="A11" s="103" t="s">
        <v>360</v>
      </c>
      <c r="B11" s="68">
        <f>+SUM(E11:AI11)</f>
        <v>0</v>
      </c>
      <c r="C11" s="152"/>
      <c r="D11" s="154"/>
      <c r="E11" s="23">
        <f>+Altas!E95</f>
        <v>0</v>
      </c>
      <c r="F11" s="23">
        <f>+Altas!F95</f>
        <v>0</v>
      </c>
      <c r="G11" s="23">
        <f>+Altas!G95</f>
        <v>0</v>
      </c>
      <c r="H11" s="23">
        <f>+Altas!H95</f>
        <v>0</v>
      </c>
      <c r="I11" s="23">
        <f>+Altas!I95</f>
        <v>0</v>
      </c>
      <c r="J11" s="23">
        <f>+Altas!J95</f>
        <v>0</v>
      </c>
      <c r="K11" s="23">
        <f>+Altas!K95</f>
        <v>0</v>
      </c>
      <c r="L11" s="23">
        <f>+Altas!L95</f>
        <v>0</v>
      </c>
      <c r="M11" s="23">
        <f>+Altas!M95</f>
        <v>0</v>
      </c>
      <c r="N11" s="23">
        <f>+Altas!N95</f>
        <v>0</v>
      </c>
      <c r="O11" s="23">
        <f>+Altas!O95</f>
        <v>0</v>
      </c>
      <c r="P11" s="23">
        <f>+Altas!P95</f>
        <v>0</v>
      </c>
      <c r="Q11" s="23">
        <f>+Altas!Q95</f>
        <v>0</v>
      </c>
      <c r="R11" s="23">
        <f>+Altas!R95</f>
        <v>0</v>
      </c>
      <c r="S11" s="23">
        <f>+Altas!S95</f>
        <v>0</v>
      </c>
      <c r="T11" s="23">
        <f>+Altas!T95</f>
        <v>0</v>
      </c>
      <c r="U11" s="23">
        <f>+Altas!U95</f>
        <v>0</v>
      </c>
      <c r="V11" s="23">
        <f>+Altas!V95</f>
        <v>0</v>
      </c>
      <c r="W11" s="23">
        <f>+Altas!W95</f>
        <v>0</v>
      </c>
      <c r="X11" s="23">
        <f>+Altas!X95</f>
        <v>0</v>
      </c>
      <c r="Y11" s="23">
        <f>+Altas!Y95</f>
        <v>0</v>
      </c>
      <c r="Z11" s="23">
        <f>+Altas!Z95</f>
        <v>0</v>
      </c>
      <c r="AA11" s="23">
        <f>+Altas!AA95</f>
        <v>0</v>
      </c>
      <c r="AB11" s="23">
        <f>+Altas!AB95</f>
        <v>0</v>
      </c>
      <c r="AC11" s="23">
        <f>+Altas!AC95</f>
        <v>0</v>
      </c>
      <c r="AD11" s="23">
        <f>+Altas!AD95</f>
        <v>0</v>
      </c>
      <c r="AE11" s="23">
        <f>+Altas!AE95</f>
        <v>0</v>
      </c>
      <c r="AF11" s="23">
        <f>+Altas!AF95</f>
        <v>0</v>
      </c>
      <c r="AG11" s="23">
        <f>+Altas!AG95</f>
        <v>0</v>
      </c>
      <c r="AH11" s="23">
        <f>+Altas!AH95</f>
        <v>0</v>
      </c>
      <c r="AI11" s="23">
        <f>+Altas!AI95</f>
        <v>0</v>
      </c>
    </row>
    <row r="12" spans="1:35" x14ac:dyDescent="0.2">
      <c r="A12" s="25"/>
      <c r="C12" s="64"/>
      <c r="E12" s="66">
        <f t="shared" ref="E12:AI12" si="2">+E11/E10</f>
        <v>0</v>
      </c>
      <c r="F12" s="66">
        <f t="shared" si="2"/>
        <v>0</v>
      </c>
      <c r="G12" s="66">
        <f t="shared" si="2"/>
        <v>0</v>
      </c>
      <c r="H12" s="66">
        <f t="shared" si="2"/>
        <v>0</v>
      </c>
      <c r="I12" s="66">
        <f t="shared" si="2"/>
        <v>0</v>
      </c>
      <c r="J12" s="66">
        <f t="shared" si="2"/>
        <v>0</v>
      </c>
      <c r="K12" s="66">
        <f t="shared" si="2"/>
        <v>0</v>
      </c>
      <c r="L12" s="66">
        <f t="shared" si="2"/>
        <v>0</v>
      </c>
      <c r="M12" s="66">
        <f t="shared" si="2"/>
        <v>0</v>
      </c>
      <c r="N12" s="66">
        <f t="shared" si="2"/>
        <v>0</v>
      </c>
      <c r="O12" s="66">
        <f t="shared" si="2"/>
        <v>0</v>
      </c>
      <c r="P12" s="66">
        <f t="shared" si="2"/>
        <v>0</v>
      </c>
      <c r="Q12" s="66">
        <f t="shared" si="2"/>
        <v>0</v>
      </c>
      <c r="R12" s="66">
        <f t="shared" si="2"/>
        <v>0</v>
      </c>
      <c r="S12" s="66">
        <f t="shared" si="2"/>
        <v>0</v>
      </c>
      <c r="T12" s="66">
        <f t="shared" si="2"/>
        <v>0</v>
      </c>
      <c r="U12" s="66">
        <f t="shared" si="2"/>
        <v>0</v>
      </c>
      <c r="V12" s="66">
        <f t="shared" si="2"/>
        <v>0</v>
      </c>
      <c r="W12" s="66">
        <f t="shared" si="2"/>
        <v>0</v>
      </c>
      <c r="X12" s="66">
        <f t="shared" si="2"/>
        <v>0</v>
      </c>
      <c r="Y12" s="66">
        <f t="shared" si="2"/>
        <v>0</v>
      </c>
      <c r="Z12" s="66">
        <f t="shared" si="2"/>
        <v>0</v>
      </c>
      <c r="AA12" s="66">
        <f t="shared" si="2"/>
        <v>0</v>
      </c>
      <c r="AB12" s="66">
        <f t="shared" si="2"/>
        <v>0</v>
      </c>
      <c r="AC12" s="66">
        <f t="shared" si="2"/>
        <v>0</v>
      </c>
      <c r="AD12" s="66">
        <f t="shared" si="2"/>
        <v>0</v>
      </c>
      <c r="AE12" s="66">
        <f t="shared" si="2"/>
        <v>0</v>
      </c>
      <c r="AF12" s="66">
        <f t="shared" si="2"/>
        <v>0</v>
      </c>
      <c r="AG12" s="66">
        <f t="shared" si="2"/>
        <v>0</v>
      </c>
      <c r="AH12" s="66">
        <f t="shared" si="2"/>
        <v>0</v>
      </c>
      <c r="AI12" s="66">
        <f t="shared" si="2"/>
        <v>0</v>
      </c>
    </row>
    <row r="13" spans="1:35" x14ac:dyDescent="0.2">
      <c r="A13" s="104" t="s">
        <v>359</v>
      </c>
      <c r="B13" s="67">
        <f>+Cuota!DU5</f>
        <v>33.009716816521205</v>
      </c>
      <c r="C13" s="152">
        <f>IFERROR(B14/B13,0)</f>
        <v>0</v>
      </c>
      <c r="D13" s="153">
        <f>+B14-B13</f>
        <v>-33.009716816521205</v>
      </c>
      <c r="E13" s="33">
        <f t="shared" ref="E13:AI13" si="3">+E4-(E7+E10)</f>
        <v>33.00971681652122</v>
      </c>
      <c r="F13" s="33">
        <f t="shared" si="3"/>
        <v>26.237706110231272</v>
      </c>
      <c r="G13" s="33">
        <f t="shared" si="3"/>
        <v>24.686144979346807</v>
      </c>
      <c r="H13" s="33">
        <f t="shared" si="3"/>
        <v>24.208226034261088</v>
      </c>
      <c r="I13" s="33">
        <f t="shared" si="3"/>
        <v>27.716088513547469</v>
      </c>
      <c r="J13" s="33">
        <f t="shared" si="3"/>
        <v>43.681668823616064</v>
      </c>
      <c r="K13" s="33">
        <f t="shared" si="3"/>
        <v>59.460448722476087</v>
      </c>
      <c r="L13" s="33">
        <f t="shared" si="3"/>
        <v>29.245970223834981</v>
      </c>
      <c r="M13" s="33">
        <f t="shared" si="3"/>
        <v>23.735544802192607</v>
      </c>
      <c r="N13" s="33">
        <f t="shared" si="3"/>
        <v>21.6638428154316</v>
      </c>
      <c r="O13" s="33">
        <f t="shared" si="3"/>
        <v>21.168632477383369</v>
      </c>
      <c r="P13" s="33">
        <f t="shared" si="3"/>
        <v>29.444624618085832</v>
      </c>
      <c r="Q13" s="33">
        <f t="shared" si="3"/>
        <v>49.337696703908335</v>
      </c>
      <c r="R13" s="33">
        <f t="shared" si="3"/>
        <v>64.403688359163425</v>
      </c>
      <c r="S13" s="33">
        <f t="shared" si="3"/>
        <v>31.426269170331722</v>
      </c>
      <c r="T13" s="33">
        <f t="shared" si="3"/>
        <v>24.017867548515582</v>
      </c>
      <c r="U13" s="33">
        <f t="shared" si="3"/>
        <v>21.537313575306669</v>
      </c>
      <c r="V13" s="33">
        <f t="shared" si="3"/>
        <v>19.950079204978515</v>
      </c>
      <c r="W13" s="33">
        <f t="shared" si="3"/>
        <v>24.562825175286314</v>
      </c>
      <c r="X13" s="33">
        <f t="shared" si="3"/>
        <v>45.353870741424572</v>
      </c>
      <c r="Y13" s="33">
        <f t="shared" si="3"/>
        <v>53.151774584156541</v>
      </c>
      <c r="Z13" s="33">
        <f t="shared" si="3"/>
        <v>25.780899208402431</v>
      </c>
      <c r="AA13" s="33">
        <f t="shared" si="3"/>
        <v>20.498154685746563</v>
      </c>
      <c r="AB13" s="33">
        <f t="shared" si="3"/>
        <v>18.990514215661371</v>
      </c>
      <c r="AC13" s="33">
        <f t="shared" si="3"/>
        <v>18.178248626422779</v>
      </c>
      <c r="AD13" s="33">
        <f t="shared" si="3"/>
        <v>23.899223189178848</v>
      </c>
      <c r="AE13" s="33">
        <f t="shared" si="3"/>
        <v>45.212264787769584</v>
      </c>
      <c r="AF13" s="33">
        <f t="shared" si="3"/>
        <v>53.440695286818269</v>
      </c>
      <c r="AG13" s="33">
        <f t="shared" si="3"/>
        <v>23.867160157842754</v>
      </c>
      <c r="AH13" s="33">
        <f t="shared" si="3"/>
        <v>19.132839842157296</v>
      </c>
      <c r="AI13" s="33">
        <f t="shared" si="3"/>
        <v>35.791672108473207</v>
      </c>
    </row>
    <row r="14" spans="1:35" x14ac:dyDescent="0.2">
      <c r="A14" s="104" t="s">
        <v>358</v>
      </c>
      <c r="B14" s="68">
        <f>+SUM(E14:AI14)</f>
        <v>0</v>
      </c>
      <c r="C14" s="152"/>
      <c r="D14" s="154"/>
      <c r="E14" s="23">
        <f t="shared" ref="E14:AI14" si="4">+E5-(E8+E11)</f>
        <v>0</v>
      </c>
      <c r="F14" s="23">
        <f t="shared" si="4"/>
        <v>0</v>
      </c>
      <c r="G14" s="23">
        <f t="shared" si="4"/>
        <v>0</v>
      </c>
      <c r="H14" s="23">
        <f t="shared" si="4"/>
        <v>0</v>
      </c>
      <c r="I14" s="23">
        <f t="shared" si="4"/>
        <v>0</v>
      </c>
      <c r="J14" s="23">
        <f t="shared" si="4"/>
        <v>0</v>
      </c>
      <c r="K14" s="23">
        <f t="shared" si="4"/>
        <v>0</v>
      </c>
      <c r="L14" s="23">
        <f t="shared" si="4"/>
        <v>0</v>
      </c>
      <c r="M14" s="23">
        <f t="shared" si="4"/>
        <v>0</v>
      </c>
      <c r="N14" s="23">
        <f t="shared" si="4"/>
        <v>0</v>
      </c>
      <c r="O14" s="23">
        <f t="shared" si="4"/>
        <v>0</v>
      </c>
      <c r="P14" s="23">
        <f t="shared" si="4"/>
        <v>0</v>
      </c>
      <c r="Q14" s="23">
        <f t="shared" si="4"/>
        <v>0</v>
      </c>
      <c r="R14" s="23">
        <f t="shared" si="4"/>
        <v>0</v>
      </c>
      <c r="S14" s="23">
        <f t="shared" si="4"/>
        <v>0</v>
      </c>
      <c r="T14" s="23">
        <f t="shared" si="4"/>
        <v>0</v>
      </c>
      <c r="U14" s="23">
        <f t="shared" si="4"/>
        <v>0</v>
      </c>
      <c r="V14" s="23">
        <f t="shared" si="4"/>
        <v>0</v>
      </c>
      <c r="W14" s="23">
        <f t="shared" si="4"/>
        <v>0</v>
      </c>
      <c r="X14" s="23">
        <f t="shared" si="4"/>
        <v>0</v>
      </c>
      <c r="Y14" s="23">
        <f t="shared" si="4"/>
        <v>0</v>
      </c>
      <c r="Z14" s="23">
        <f t="shared" si="4"/>
        <v>0</v>
      </c>
      <c r="AA14" s="23">
        <f t="shared" si="4"/>
        <v>0</v>
      </c>
      <c r="AB14" s="23">
        <f t="shared" si="4"/>
        <v>0</v>
      </c>
      <c r="AC14" s="23">
        <f t="shared" si="4"/>
        <v>0</v>
      </c>
      <c r="AD14" s="23">
        <f t="shared" si="4"/>
        <v>0</v>
      </c>
      <c r="AE14" s="23">
        <f t="shared" si="4"/>
        <v>0</v>
      </c>
      <c r="AF14" s="23">
        <f t="shared" si="4"/>
        <v>0</v>
      </c>
      <c r="AG14" s="23">
        <f t="shared" si="4"/>
        <v>0</v>
      </c>
      <c r="AH14" s="23">
        <f t="shared" si="4"/>
        <v>0</v>
      </c>
      <c r="AI14" s="23">
        <f t="shared" si="4"/>
        <v>0</v>
      </c>
    </row>
    <row r="15" spans="1:35" x14ac:dyDescent="0.2">
      <c r="E15" s="66">
        <f t="shared" ref="E15:AI15" si="5">+E14/E13</f>
        <v>0</v>
      </c>
      <c r="F15" s="66">
        <f t="shared" si="5"/>
        <v>0</v>
      </c>
      <c r="G15" s="66">
        <f t="shared" si="5"/>
        <v>0</v>
      </c>
      <c r="H15" s="66">
        <f t="shared" si="5"/>
        <v>0</v>
      </c>
      <c r="I15" s="66">
        <f t="shared" si="5"/>
        <v>0</v>
      </c>
      <c r="J15" s="66">
        <f t="shared" si="5"/>
        <v>0</v>
      </c>
      <c r="K15" s="66">
        <f t="shared" si="5"/>
        <v>0</v>
      </c>
      <c r="L15" s="66">
        <f t="shared" si="5"/>
        <v>0</v>
      </c>
      <c r="M15" s="66">
        <f t="shared" si="5"/>
        <v>0</v>
      </c>
      <c r="N15" s="66">
        <f t="shared" si="5"/>
        <v>0</v>
      </c>
      <c r="O15" s="66">
        <f t="shared" si="5"/>
        <v>0</v>
      </c>
      <c r="P15" s="66">
        <f t="shared" si="5"/>
        <v>0</v>
      </c>
      <c r="Q15" s="66">
        <f t="shared" si="5"/>
        <v>0</v>
      </c>
      <c r="R15" s="66">
        <f t="shared" si="5"/>
        <v>0</v>
      </c>
      <c r="S15" s="66">
        <f t="shared" si="5"/>
        <v>0</v>
      </c>
      <c r="T15" s="66">
        <f t="shared" si="5"/>
        <v>0</v>
      </c>
      <c r="U15" s="66">
        <f t="shared" si="5"/>
        <v>0</v>
      </c>
      <c r="V15" s="66">
        <f t="shared" si="5"/>
        <v>0</v>
      </c>
      <c r="W15" s="66">
        <f t="shared" si="5"/>
        <v>0</v>
      </c>
      <c r="X15" s="66">
        <f t="shared" si="5"/>
        <v>0</v>
      </c>
      <c r="Y15" s="66">
        <f t="shared" si="5"/>
        <v>0</v>
      </c>
      <c r="Z15" s="66">
        <f t="shared" si="5"/>
        <v>0</v>
      </c>
      <c r="AA15" s="66">
        <f t="shared" si="5"/>
        <v>0</v>
      </c>
      <c r="AB15" s="66">
        <f t="shared" si="5"/>
        <v>0</v>
      </c>
      <c r="AC15" s="66">
        <f t="shared" si="5"/>
        <v>0</v>
      </c>
      <c r="AD15" s="66">
        <f t="shared" si="5"/>
        <v>0</v>
      </c>
      <c r="AE15" s="66">
        <f t="shared" si="5"/>
        <v>0</v>
      </c>
      <c r="AF15" s="66">
        <f t="shared" si="5"/>
        <v>0</v>
      </c>
      <c r="AG15" s="66">
        <f t="shared" si="5"/>
        <v>0</v>
      </c>
      <c r="AH15" s="66">
        <f t="shared" si="5"/>
        <v>0</v>
      </c>
      <c r="AI15" s="66">
        <f t="shared" si="5"/>
        <v>0</v>
      </c>
    </row>
    <row r="16" spans="1:35" x14ac:dyDescent="0.2">
      <c r="B16" s="100" t="s">
        <v>357</v>
      </c>
      <c r="C16" s="100" t="s">
        <v>356</v>
      </c>
      <c r="D16" s="100" t="s">
        <v>381</v>
      </c>
      <c r="E16" s="110">
        <v>1</v>
      </c>
      <c r="F16" s="110">
        <v>2</v>
      </c>
      <c r="G16" s="110">
        <v>3</v>
      </c>
      <c r="H16" s="110">
        <v>4</v>
      </c>
      <c r="I16" s="110">
        <v>5</v>
      </c>
      <c r="J16" s="110">
        <v>6</v>
      </c>
      <c r="K16" s="110">
        <v>7</v>
      </c>
      <c r="L16" s="110">
        <v>8</v>
      </c>
      <c r="M16" s="110">
        <v>9</v>
      </c>
      <c r="N16" s="110">
        <v>10</v>
      </c>
      <c r="O16" s="110">
        <v>11</v>
      </c>
      <c r="P16" s="110">
        <v>12</v>
      </c>
      <c r="Q16" s="110">
        <v>13</v>
      </c>
      <c r="R16" s="110">
        <v>14</v>
      </c>
      <c r="S16" s="110">
        <v>15</v>
      </c>
      <c r="T16" s="110">
        <v>16</v>
      </c>
      <c r="U16" s="110">
        <v>17</v>
      </c>
      <c r="V16" s="110">
        <v>18</v>
      </c>
      <c r="W16" s="110">
        <v>19</v>
      </c>
      <c r="X16" s="110">
        <v>20</v>
      </c>
      <c r="Y16" s="110">
        <v>21</v>
      </c>
      <c r="Z16" s="110">
        <v>22</v>
      </c>
      <c r="AA16" s="110">
        <v>23</v>
      </c>
      <c r="AB16" s="110">
        <v>24</v>
      </c>
      <c r="AC16" s="110">
        <v>25</v>
      </c>
      <c r="AD16" s="110">
        <v>26</v>
      </c>
      <c r="AE16" s="110">
        <v>27</v>
      </c>
      <c r="AF16" s="110">
        <v>28</v>
      </c>
      <c r="AG16" s="110">
        <v>29</v>
      </c>
      <c r="AH16" s="110">
        <v>30</v>
      </c>
      <c r="AI16" s="110">
        <v>31</v>
      </c>
    </row>
    <row r="17" spans="1:35" x14ac:dyDescent="0.2">
      <c r="A17" s="105" t="s">
        <v>355</v>
      </c>
      <c r="B17" s="67" t="e">
        <f>+AVERAGE(E17:N17)</f>
        <v>#DIV/0!</v>
      </c>
      <c r="C17" s="68">
        <v>43</v>
      </c>
      <c r="D17" s="66" t="e">
        <f>+B17/C17</f>
        <v>#DIV/0!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</row>
    <row r="18" spans="1:35" x14ac:dyDescent="0.2">
      <c r="A18" s="105" t="s">
        <v>354</v>
      </c>
      <c r="B18" s="67" t="e">
        <f>+AVERAGE(E18:N18)</f>
        <v>#DIV/0!</v>
      </c>
      <c r="C18" s="68">
        <v>54</v>
      </c>
      <c r="D18" s="106" t="e">
        <f>+B18/C18</f>
        <v>#DIV/0!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 spans="1:35" x14ac:dyDescent="0.2">
      <c r="D19" s="107" t="s">
        <v>378</v>
      </c>
      <c r="E19" s="108">
        <f>+E17/43</f>
        <v>0</v>
      </c>
      <c r="F19" s="108">
        <f t="shared" ref="F19:AI19" si="6">+F17/43</f>
        <v>0</v>
      </c>
      <c r="G19" s="108">
        <f t="shared" si="6"/>
        <v>0</v>
      </c>
      <c r="H19" s="108">
        <f t="shared" si="6"/>
        <v>0</v>
      </c>
      <c r="I19" s="108">
        <f t="shared" si="6"/>
        <v>0</v>
      </c>
      <c r="J19" s="108">
        <f t="shared" si="6"/>
        <v>0</v>
      </c>
      <c r="K19" s="108">
        <f t="shared" si="6"/>
        <v>0</v>
      </c>
      <c r="L19" s="108">
        <f t="shared" si="6"/>
        <v>0</v>
      </c>
      <c r="M19" s="108">
        <f t="shared" si="6"/>
        <v>0</v>
      </c>
      <c r="N19" s="108">
        <f t="shared" si="6"/>
        <v>0</v>
      </c>
      <c r="O19" s="108">
        <f t="shared" si="6"/>
        <v>0</v>
      </c>
      <c r="P19" s="108">
        <f t="shared" si="6"/>
        <v>0</v>
      </c>
      <c r="Q19" s="108">
        <f t="shared" si="6"/>
        <v>0</v>
      </c>
      <c r="R19" s="108">
        <f t="shared" si="6"/>
        <v>0</v>
      </c>
      <c r="S19" s="108">
        <f t="shared" si="6"/>
        <v>0</v>
      </c>
      <c r="T19" s="108">
        <f t="shared" si="6"/>
        <v>0</v>
      </c>
      <c r="U19" s="108">
        <f t="shared" si="6"/>
        <v>0</v>
      </c>
      <c r="V19" s="108">
        <f t="shared" si="6"/>
        <v>0</v>
      </c>
      <c r="W19" s="108">
        <f t="shared" si="6"/>
        <v>0</v>
      </c>
      <c r="X19" s="108">
        <f t="shared" si="6"/>
        <v>0</v>
      </c>
      <c r="Y19" s="108">
        <f t="shared" si="6"/>
        <v>0</v>
      </c>
      <c r="Z19" s="108">
        <f t="shared" si="6"/>
        <v>0</v>
      </c>
      <c r="AA19" s="108">
        <f t="shared" si="6"/>
        <v>0</v>
      </c>
      <c r="AB19" s="108">
        <f t="shared" si="6"/>
        <v>0</v>
      </c>
      <c r="AC19" s="108">
        <f t="shared" si="6"/>
        <v>0</v>
      </c>
      <c r="AD19" s="108">
        <f t="shared" si="6"/>
        <v>0</v>
      </c>
      <c r="AE19" s="108">
        <f t="shared" si="6"/>
        <v>0</v>
      </c>
      <c r="AF19" s="108">
        <f t="shared" si="6"/>
        <v>0</v>
      </c>
      <c r="AG19" s="108">
        <f t="shared" si="6"/>
        <v>0</v>
      </c>
      <c r="AH19" s="108">
        <f t="shared" si="6"/>
        <v>0</v>
      </c>
      <c r="AI19" s="108">
        <f t="shared" si="6"/>
        <v>0</v>
      </c>
    </row>
    <row r="20" spans="1:35" x14ac:dyDescent="0.2">
      <c r="D20" s="107" t="s">
        <v>379</v>
      </c>
      <c r="E20" s="108">
        <f>+E18/54</f>
        <v>0</v>
      </c>
      <c r="F20" s="108">
        <f t="shared" ref="F20:AI20" si="7">+F18/54</f>
        <v>0</v>
      </c>
      <c r="G20" s="108">
        <f t="shared" si="7"/>
        <v>0</v>
      </c>
      <c r="H20" s="108">
        <f t="shared" si="7"/>
        <v>0</v>
      </c>
      <c r="I20" s="108">
        <f t="shared" si="7"/>
        <v>0</v>
      </c>
      <c r="J20" s="108">
        <f t="shared" si="7"/>
        <v>0</v>
      </c>
      <c r="K20" s="108">
        <f t="shared" si="7"/>
        <v>0</v>
      </c>
      <c r="L20" s="108">
        <f t="shared" si="7"/>
        <v>0</v>
      </c>
      <c r="M20" s="108">
        <f t="shared" si="7"/>
        <v>0</v>
      </c>
      <c r="N20" s="108">
        <f t="shared" si="7"/>
        <v>0</v>
      </c>
      <c r="O20" s="108">
        <f t="shared" si="7"/>
        <v>0</v>
      </c>
      <c r="P20" s="108">
        <f t="shared" si="7"/>
        <v>0</v>
      </c>
      <c r="Q20" s="108">
        <f t="shared" si="7"/>
        <v>0</v>
      </c>
      <c r="R20" s="108">
        <f t="shared" si="7"/>
        <v>0</v>
      </c>
      <c r="S20" s="108">
        <f t="shared" si="7"/>
        <v>0</v>
      </c>
      <c r="T20" s="108">
        <f t="shared" si="7"/>
        <v>0</v>
      </c>
      <c r="U20" s="108">
        <f t="shared" si="7"/>
        <v>0</v>
      </c>
      <c r="V20" s="108">
        <f t="shared" si="7"/>
        <v>0</v>
      </c>
      <c r="W20" s="108">
        <f t="shared" si="7"/>
        <v>0</v>
      </c>
      <c r="X20" s="108">
        <f t="shared" si="7"/>
        <v>0</v>
      </c>
      <c r="Y20" s="108">
        <f t="shared" si="7"/>
        <v>0</v>
      </c>
      <c r="Z20" s="108">
        <f t="shared" si="7"/>
        <v>0</v>
      </c>
      <c r="AA20" s="108">
        <f t="shared" si="7"/>
        <v>0</v>
      </c>
      <c r="AB20" s="108">
        <f t="shared" si="7"/>
        <v>0</v>
      </c>
      <c r="AC20" s="108">
        <f t="shared" si="7"/>
        <v>0</v>
      </c>
      <c r="AD20" s="108">
        <f t="shared" si="7"/>
        <v>0</v>
      </c>
      <c r="AE20" s="108">
        <f t="shared" si="7"/>
        <v>0</v>
      </c>
      <c r="AF20" s="108">
        <f t="shared" si="7"/>
        <v>0</v>
      </c>
      <c r="AG20" s="108">
        <f t="shared" si="7"/>
        <v>0</v>
      </c>
      <c r="AH20" s="108">
        <f t="shared" si="7"/>
        <v>0</v>
      </c>
      <c r="AI20" s="108">
        <f t="shared" si="7"/>
        <v>0</v>
      </c>
    </row>
    <row r="21" spans="1:35" x14ac:dyDescent="0.2">
      <c r="D21" s="107" t="s">
        <v>380</v>
      </c>
      <c r="E21" s="109">
        <f>+$C$17-E17</f>
        <v>43</v>
      </c>
      <c r="F21" s="109">
        <f t="shared" ref="F21:AI21" si="8">+$C$17-F17</f>
        <v>43</v>
      </c>
      <c r="G21" s="109">
        <f t="shared" si="8"/>
        <v>43</v>
      </c>
      <c r="H21" s="109">
        <f t="shared" si="8"/>
        <v>43</v>
      </c>
      <c r="I21" s="109">
        <f t="shared" si="8"/>
        <v>43</v>
      </c>
      <c r="J21" s="109">
        <f t="shared" si="8"/>
        <v>43</v>
      </c>
      <c r="K21" s="109">
        <f t="shared" si="8"/>
        <v>43</v>
      </c>
      <c r="L21" s="109">
        <f t="shared" si="8"/>
        <v>43</v>
      </c>
      <c r="M21" s="109">
        <f t="shared" si="8"/>
        <v>43</v>
      </c>
      <c r="N21" s="109">
        <f t="shared" si="8"/>
        <v>43</v>
      </c>
      <c r="O21" s="109">
        <f t="shared" si="8"/>
        <v>43</v>
      </c>
      <c r="P21" s="109">
        <f t="shared" si="8"/>
        <v>43</v>
      </c>
      <c r="Q21" s="109">
        <f t="shared" si="8"/>
        <v>43</v>
      </c>
      <c r="R21" s="109">
        <f t="shared" si="8"/>
        <v>43</v>
      </c>
      <c r="S21" s="109">
        <f t="shared" si="8"/>
        <v>43</v>
      </c>
      <c r="T21" s="109">
        <f t="shared" si="8"/>
        <v>43</v>
      </c>
      <c r="U21" s="109">
        <f t="shared" si="8"/>
        <v>43</v>
      </c>
      <c r="V21" s="109">
        <f t="shared" si="8"/>
        <v>43</v>
      </c>
      <c r="W21" s="109">
        <f t="shared" si="8"/>
        <v>43</v>
      </c>
      <c r="X21" s="109">
        <f t="shared" si="8"/>
        <v>43</v>
      </c>
      <c r="Y21" s="109">
        <f t="shared" si="8"/>
        <v>43</v>
      </c>
      <c r="Z21" s="109">
        <f t="shared" si="8"/>
        <v>43</v>
      </c>
      <c r="AA21" s="109">
        <f t="shared" si="8"/>
        <v>43</v>
      </c>
      <c r="AB21" s="109">
        <f t="shared" si="8"/>
        <v>43</v>
      </c>
      <c r="AC21" s="109">
        <f t="shared" si="8"/>
        <v>43</v>
      </c>
      <c r="AD21" s="109">
        <f t="shared" si="8"/>
        <v>43</v>
      </c>
      <c r="AE21" s="109">
        <f t="shared" si="8"/>
        <v>43</v>
      </c>
      <c r="AF21" s="109">
        <f t="shared" si="8"/>
        <v>43</v>
      </c>
      <c r="AG21" s="109">
        <f t="shared" si="8"/>
        <v>43</v>
      </c>
      <c r="AH21" s="109">
        <f t="shared" si="8"/>
        <v>43</v>
      </c>
      <c r="AI21" s="109">
        <f t="shared" si="8"/>
        <v>43</v>
      </c>
    </row>
  </sheetData>
  <mergeCells count="8">
    <mergeCell ref="C4:C5"/>
    <mergeCell ref="C7:C8"/>
    <mergeCell ref="C10:C11"/>
    <mergeCell ref="C13:C14"/>
    <mergeCell ref="D4:D5"/>
    <mergeCell ref="D7:D8"/>
    <mergeCell ref="D10:D11"/>
    <mergeCell ref="D13:D14"/>
  </mergeCells>
  <conditionalFormatting sqref="D10 D13 D7 D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AI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:AI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:AI1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5:AI1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AI1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AI2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FAB9-9758-4036-9607-FB70192357D1}">
  <sheetPr filterMode="1"/>
  <dimension ref="A1:BE111"/>
  <sheetViews>
    <sheetView showGridLines="0" tabSelected="1" zoomScale="80" zoomScaleNormal="80" workbookViewId="0">
      <pane xSplit="9" topLeftCell="J1" activePane="topRight" state="frozen"/>
      <selection pane="topRight" activeCell="B3" sqref="B3"/>
    </sheetView>
  </sheetViews>
  <sheetFormatPr defaultColWidth="10.76171875" defaultRowHeight="15" x14ac:dyDescent="0.2"/>
  <cols>
    <col min="1" max="1" width="26.23046875" bestFit="1" customWidth="1"/>
    <col min="2" max="2" width="27.57421875" customWidth="1"/>
    <col min="3" max="3" width="8.33984375" bestFit="1" customWidth="1"/>
    <col min="4" max="4" width="18.83203125" customWidth="1"/>
    <col min="5" max="5" width="20.3125" customWidth="1"/>
    <col min="6" max="6" width="16.94921875" customWidth="1"/>
    <col min="7" max="7" width="13.5859375" bestFit="1" customWidth="1"/>
    <col min="8" max="8" width="9.953125" customWidth="1"/>
    <col min="9" max="9" width="30.40234375" bestFit="1" customWidth="1"/>
    <col min="10" max="10" width="17.3515625" bestFit="1" customWidth="1"/>
    <col min="11" max="11" width="10.89453125" bestFit="1" customWidth="1"/>
    <col min="12" max="27" width="7.26171875" style="11" customWidth="1"/>
    <col min="28" max="28" width="11.8359375" customWidth="1"/>
    <col min="36" max="36" width="12.5078125" customWidth="1"/>
    <col min="37" max="39" width="0" hidden="1" customWidth="1"/>
    <col min="40" max="40" width="10.4921875" customWidth="1"/>
    <col min="41" max="47" width="10.89453125" bestFit="1" customWidth="1"/>
    <col min="49" max="49" width="7.93359375" bestFit="1" customWidth="1"/>
  </cols>
  <sheetData>
    <row r="1" spans="1:57" x14ac:dyDescent="0.2">
      <c r="D1" s="43"/>
      <c r="AJ1" s="25"/>
      <c r="AN1" s="58"/>
      <c r="AO1" s="58"/>
      <c r="AP1" s="58"/>
      <c r="AQ1" s="58"/>
      <c r="AR1" s="58"/>
      <c r="AS1" s="58"/>
      <c r="AT1" s="58"/>
      <c r="AU1" s="58"/>
    </row>
    <row r="2" spans="1:57" x14ac:dyDescent="0.2">
      <c r="Q2" s="32"/>
      <c r="R2" s="46"/>
      <c r="AJ2" s="25"/>
      <c r="AM2" s="25" t="s">
        <v>277</v>
      </c>
      <c r="AN2" s="24"/>
      <c r="AO2" s="24"/>
      <c r="AP2" s="24"/>
      <c r="AQ2" s="24"/>
      <c r="AR2" s="24"/>
      <c r="AS2" s="24"/>
      <c r="AT2" s="24"/>
      <c r="AU2" s="24"/>
    </row>
    <row r="3" spans="1:57" ht="26.45" customHeight="1" x14ac:dyDescent="0.2">
      <c r="B3" s="42"/>
      <c r="C3" s="42"/>
      <c r="E3" s="26" t="s">
        <v>278</v>
      </c>
      <c r="F3" s="27">
        <v>1</v>
      </c>
      <c r="L3" s="143" t="s">
        <v>267</v>
      </c>
      <c r="M3" s="143"/>
      <c r="N3" s="143"/>
      <c r="O3" s="143"/>
      <c r="P3" s="141" t="s">
        <v>129</v>
      </c>
      <c r="Q3" s="141"/>
      <c r="R3" s="141"/>
      <c r="S3" s="141"/>
      <c r="T3" s="144" t="s">
        <v>268</v>
      </c>
      <c r="U3" s="144"/>
      <c r="V3" s="144"/>
      <c r="W3" s="144"/>
      <c r="X3" s="145" t="s">
        <v>269</v>
      </c>
      <c r="Y3" s="145"/>
      <c r="Z3" s="145"/>
      <c r="AA3" s="145"/>
      <c r="AB3" s="142" t="s">
        <v>273</v>
      </c>
      <c r="AC3" s="142"/>
      <c r="AD3" s="142"/>
      <c r="AE3" s="150" t="s">
        <v>274</v>
      </c>
      <c r="AF3" s="150"/>
      <c r="AG3" s="150"/>
      <c r="AH3" s="147" t="s">
        <v>275</v>
      </c>
      <c r="AI3" s="147"/>
      <c r="AJ3" s="147"/>
      <c r="AK3" s="148" t="s">
        <v>276</v>
      </c>
      <c r="AL3" s="148"/>
      <c r="AM3" s="148"/>
      <c r="AN3" s="149" t="s">
        <v>484</v>
      </c>
      <c r="AO3" s="149"/>
      <c r="AP3" s="149"/>
      <c r="AQ3" s="149"/>
      <c r="AR3" s="149"/>
      <c r="AS3" s="149"/>
      <c r="AT3" s="149"/>
      <c r="AU3" s="149"/>
      <c r="AV3" s="146" t="s">
        <v>485</v>
      </c>
      <c r="AW3" s="146"/>
      <c r="AX3" s="146"/>
      <c r="AY3" s="146"/>
      <c r="AZ3" s="146"/>
    </row>
    <row r="4" spans="1:57" x14ac:dyDescent="0.2">
      <c r="C4">
        <f>+SUBTOTAL(9,C6:C111)</f>
        <v>43</v>
      </c>
      <c r="L4" s="66">
        <f t="shared" ref="L4" si="0">+IFERROR(M4/N4,0)</f>
        <v>0</v>
      </c>
      <c r="M4" s="68">
        <f t="shared" ref="M4:N4" si="1">+SUBTOTAL(9,M6:M111)</f>
        <v>0</v>
      </c>
      <c r="N4" s="67">
        <f t="shared" si="1"/>
        <v>79.469291068473609</v>
      </c>
      <c r="O4" s="67">
        <f>+SUBTOTAL(9,O6:O111)</f>
        <v>-79.469291068473609</v>
      </c>
      <c r="P4" s="66">
        <f t="shared" ref="P4" si="2">+IFERROR(Q4/R4,0)</f>
        <v>12.453961706464037</v>
      </c>
      <c r="Q4" s="68">
        <f t="shared" ref="Q4:R4" si="3">+SUBTOTAL(9,Q6:Q111)</f>
        <v>496</v>
      </c>
      <c r="R4" s="67">
        <f t="shared" si="3"/>
        <v>39.826684206244096</v>
      </c>
      <c r="S4" s="67">
        <f>+SUBTOTAL(9,S6:S111)</f>
        <v>456.17331579375616</v>
      </c>
      <c r="T4" s="66">
        <f t="shared" ref="T4" si="4">+IFERROR(U4/V4,0)</f>
        <v>0</v>
      </c>
      <c r="U4" s="68">
        <f>+SUBTOTAL(9,U6:U111)</f>
        <v>0</v>
      </c>
      <c r="V4" s="67">
        <f t="shared" ref="V4" si="5">+SUBTOTAL(9,V6:V111)</f>
        <v>6.6328900457082947</v>
      </c>
      <c r="W4" s="67">
        <f>+SUBTOTAL(9,W6:W111)</f>
        <v>-6.6328900457082947</v>
      </c>
      <c r="X4" s="66">
        <f t="shared" ref="X4" si="6">+IFERROR(Y4/Z4,0)</f>
        <v>-15.025878675570896</v>
      </c>
      <c r="Y4" s="23">
        <f t="shared" ref="Y4:Z4" si="7">+SUBTOTAL(9,Y6:Y111)</f>
        <v>-496</v>
      </c>
      <c r="Z4" s="33">
        <f t="shared" si="7"/>
        <v>33.009716816521205</v>
      </c>
      <c r="AA4" s="67">
        <f>+SUBTOTAL(9,AA6:AA111)</f>
        <v>-529.00971681652118</v>
      </c>
      <c r="AB4" s="44">
        <f>+SUBTOTAL(9,AB6:AB48)/$C$4</f>
        <v>0</v>
      </c>
      <c r="AC4" s="44">
        <f>+SUBTOTAL(9,AC6:AC48)/$C$4</f>
        <v>1.0395330352891543</v>
      </c>
      <c r="AD4" s="44">
        <f>+AB4-AC4</f>
        <v>-1.0395330352891543</v>
      </c>
      <c r="AE4" s="44">
        <f>+SUBTOTAL(9,AE6:AE48)/$C$4</f>
        <v>0</v>
      </c>
      <c r="AF4" s="44">
        <f>+SUBTOTAL(9,AF6:AF48)/$C$4</f>
        <v>0.53635007418525682</v>
      </c>
      <c r="AG4" s="44">
        <f>+AE4-AF4</f>
        <v>-0.53635007418525682</v>
      </c>
      <c r="AH4" s="44">
        <f>+SUBTOTAL(9,AH6:AH48)/$C$4</f>
        <v>0</v>
      </c>
      <c r="AI4" s="44">
        <f>+SUBTOTAL(9,AI6:AI48)/$C$4</f>
        <v>7.5724326103223674E-2</v>
      </c>
      <c r="AJ4" s="44">
        <f>+AH4-AI4</f>
        <v>-7.5724326103223674E-2</v>
      </c>
      <c r="AN4" s="23">
        <f t="shared" ref="AN4:AU4" si="8">+SUBTOTAL(9,AN6:AN111)</f>
        <v>0</v>
      </c>
      <c r="AO4" s="23">
        <f t="shared" si="8"/>
        <v>0</v>
      </c>
      <c r="AP4" s="23">
        <f t="shared" si="8"/>
        <v>0</v>
      </c>
      <c r="AQ4" s="23">
        <f t="shared" si="8"/>
        <v>496</v>
      </c>
      <c r="AR4" s="23">
        <f t="shared" si="8"/>
        <v>0</v>
      </c>
      <c r="AS4" s="23">
        <f t="shared" si="8"/>
        <v>0</v>
      </c>
      <c r="AT4" s="23">
        <f t="shared" si="8"/>
        <v>0</v>
      </c>
      <c r="AU4" s="23">
        <f t="shared" si="8"/>
        <v>-496</v>
      </c>
      <c r="AW4" s="23" t="e">
        <f>SUBTOTAL(1,AW6:AW111)</f>
        <v>#DIV/0!</v>
      </c>
      <c r="AX4" s="23" t="e">
        <f t="shared" ref="AX4:AZ4" si="9">SUBTOTAL(1,AX6:AX111)</f>
        <v>#DIV/0!</v>
      </c>
      <c r="AY4" s="23" t="e">
        <f t="shared" si="9"/>
        <v>#DIV/0!</v>
      </c>
      <c r="AZ4" s="23" t="e">
        <f t="shared" si="9"/>
        <v>#DIV/0!</v>
      </c>
    </row>
    <row r="5" spans="1:57" x14ac:dyDescent="0.2">
      <c r="A5" s="29" t="s">
        <v>0</v>
      </c>
      <c r="B5" s="30" t="s">
        <v>122</v>
      </c>
      <c r="C5" s="30" t="s">
        <v>299</v>
      </c>
      <c r="D5" s="30" t="s">
        <v>295</v>
      </c>
      <c r="E5" s="30" t="s">
        <v>344</v>
      </c>
      <c r="F5" s="30" t="s">
        <v>384</v>
      </c>
      <c r="G5" s="54" t="s">
        <v>304</v>
      </c>
      <c r="H5" s="29" t="s">
        <v>1</v>
      </c>
      <c r="I5" s="29" t="s">
        <v>2</v>
      </c>
      <c r="J5" s="29" t="s">
        <v>3</v>
      </c>
      <c r="K5" s="31" t="s">
        <v>4</v>
      </c>
      <c r="L5" s="69" t="s">
        <v>266</v>
      </c>
      <c r="M5" s="70" t="s">
        <v>264</v>
      </c>
      <c r="N5" s="70" t="s">
        <v>265</v>
      </c>
      <c r="O5" s="70" t="s">
        <v>272</v>
      </c>
      <c r="P5" s="71" t="s">
        <v>266</v>
      </c>
      <c r="Q5" s="72" t="s">
        <v>264</v>
      </c>
      <c r="R5" s="72" t="s">
        <v>265</v>
      </c>
      <c r="S5" s="72" t="s">
        <v>272</v>
      </c>
      <c r="T5" s="73" t="s">
        <v>266</v>
      </c>
      <c r="U5" s="74" t="s">
        <v>264</v>
      </c>
      <c r="V5" s="74" t="s">
        <v>265</v>
      </c>
      <c r="W5" s="74" t="s">
        <v>272</v>
      </c>
      <c r="X5" s="75" t="s">
        <v>266</v>
      </c>
      <c r="Y5" s="76" t="s">
        <v>264</v>
      </c>
      <c r="Z5" s="76" t="s">
        <v>265</v>
      </c>
      <c r="AA5" s="76" t="s">
        <v>272</v>
      </c>
      <c r="AB5" s="21" t="s">
        <v>270</v>
      </c>
      <c r="AC5" s="22" t="s">
        <v>271</v>
      </c>
      <c r="AD5" s="22" t="s">
        <v>272</v>
      </c>
      <c r="AE5" s="21" t="s">
        <v>300</v>
      </c>
      <c r="AF5" s="22" t="s">
        <v>271</v>
      </c>
      <c r="AG5" s="22" t="s">
        <v>272</v>
      </c>
      <c r="AH5" s="21" t="s">
        <v>270</v>
      </c>
      <c r="AI5" s="22" t="s">
        <v>271</v>
      </c>
      <c r="AJ5" s="22" t="s">
        <v>272</v>
      </c>
      <c r="AK5" s="21" t="s">
        <v>270</v>
      </c>
      <c r="AL5" s="22" t="s">
        <v>271</v>
      </c>
      <c r="AM5" s="22" t="s">
        <v>272</v>
      </c>
      <c r="AN5" s="82" t="s">
        <v>375</v>
      </c>
      <c r="AO5" s="82" t="s">
        <v>272</v>
      </c>
      <c r="AP5" s="82" t="s">
        <v>129</v>
      </c>
      <c r="AQ5" s="82" t="s">
        <v>272</v>
      </c>
      <c r="AR5" s="82" t="s">
        <v>128</v>
      </c>
      <c r="AS5" s="83" t="s">
        <v>272</v>
      </c>
      <c r="AT5" s="83" t="s">
        <v>139</v>
      </c>
      <c r="AU5" s="83" t="s">
        <v>272</v>
      </c>
      <c r="AV5" s="85" t="s">
        <v>379</v>
      </c>
      <c r="AW5" s="85" t="s">
        <v>375</v>
      </c>
      <c r="AX5" s="85" t="s">
        <v>129</v>
      </c>
      <c r="AY5" s="85" t="s">
        <v>128</v>
      </c>
      <c r="AZ5" s="85" t="s">
        <v>139</v>
      </c>
      <c r="BE5">
        <v>4</v>
      </c>
    </row>
    <row r="6" spans="1:57" x14ac:dyDescent="0.2">
      <c r="A6" s="43" t="s">
        <v>99</v>
      </c>
      <c r="B6" s="43" t="s">
        <v>125</v>
      </c>
      <c r="C6" s="43">
        <v>1</v>
      </c>
      <c r="D6" s="43" t="s">
        <v>543</v>
      </c>
      <c r="E6" s="43" t="s">
        <v>347</v>
      </c>
      <c r="F6" s="43"/>
      <c r="G6" s="43" t="s">
        <v>324</v>
      </c>
      <c r="H6" s="43">
        <v>2090171</v>
      </c>
      <c r="I6" s="43" t="s">
        <v>18</v>
      </c>
      <c r="J6" s="43" t="s">
        <v>17</v>
      </c>
      <c r="K6" s="43" t="s">
        <v>5</v>
      </c>
      <c r="L6" s="66">
        <f t="shared" ref="L6:L37" si="10">+IFERROR(M6/N6,0)</f>
        <v>0</v>
      </c>
      <c r="M6" s="77">
        <f>SUM(Altas!E3:AI3)</f>
        <v>0</v>
      </c>
      <c r="N6" s="77">
        <f>VLOOKUP(H6,Cuota!$D:$DU,119,0)</f>
        <v>3.5456830045853107</v>
      </c>
      <c r="O6" s="77">
        <f t="shared" ref="O6:O37" si="11">+M6-N6</f>
        <v>-3.5456830045853107</v>
      </c>
      <c r="P6" s="66">
        <f t="shared" ref="P6:P37" si="12">+IFERROR(Q6/R6,0)</f>
        <v>0</v>
      </c>
      <c r="Q6" s="77">
        <f>+SUM(Altas!E50:AI50)</f>
        <v>0</v>
      </c>
      <c r="R6" s="77">
        <f>VLOOKUP(H6,Tabla2[[#All],[IDPV]:[PP VOZ]],120,0)</f>
        <v>1.9276174183718613</v>
      </c>
      <c r="S6" s="77">
        <f t="shared" ref="S6:S37" si="13">+Q6-R6</f>
        <v>-1.9276174183718613</v>
      </c>
      <c r="T6" s="66">
        <f t="shared" ref="T6:T37" si="14">+IFERROR(U6/V6,0)</f>
        <v>0</v>
      </c>
      <c r="U6" s="78">
        <f>+SUM(Altas!E97:AI97)</f>
        <v>0</v>
      </c>
      <c r="V6" s="77">
        <f>VLOOKUP(H6,Tabla2[[#All],[IDPV]:[PP VOZ]],121,0)</f>
        <v>0.24119600166211994</v>
      </c>
      <c r="W6" s="77">
        <f t="shared" ref="W6:W37" si="15">+U6-V6</f>
        <v>-0.24119600166211994</v>
      </c>
      <c r="X6" s="66">
        <f t="shared" ref="X6:X37" si="16">+IFERROR(Y6/Z6,0)</f>
        <v>0</v>
      </c>
      <c r="Y6" s="77">
        <f t="shared" ref="Y6:Y37" si="17">+M6-(Q6+U6)</f>
        <v>0</v>
      </c>
      <c r="Z6" s="77">
        <f>VLOOKUP(H6,Tabla2[[#All],[IDPV]:[PP VOZ]],122,0)</f>
        <v>1.3768695845513297</v>
      </c>
      <c r="AA6" s="77">
        <f t="shared" ref="AA6:AA37" si="18">+Y6-Z6</f>
        <v>-1.3768695845513297</v>
      </c>
      <c r="AB6" s="28">
        <f t="shared" ref="AB6:AB37" si="19">+M6/$F$3</f>
        <v>0</v>
      </c>
      <c r="AC6" s="28">
        <f t="shared" ref="AC6:AC37" si="20">+N6/$F$3</f>
        <v>3.5456830045853107</v>
      </c>
      <c r="AD6" s="28">
        <f t="shared" ref="AD6:AD37" si="21">+AB6-AC6</f>
        <v>-3.5456830045853107</v>
      </c>
      <c r="AE6" s="28">
        <f t="shared" ref="AE6:AE37" si="22">+Q6/$F$3</f>
        <v>0</v>
      </c>
      <c r="AF6" s="28">
        <f t="shared" ref="AF6:AF37" si="23">+R6/$F$3</f>
        <v>1.9276174183718613</v>
      </c>
      <c r="AG6" s="28">
        <f t="shared" ref="AG6:AG37" si="24">+AE6-AF6</f>
        <v>-1.9276174183718613</v>
      </c>
      <c r="AH6" s="28">
        <f t="shared" ref="AH6:AH37" si="25">+U6/$F$3</f>
        <v>0</v>
      </c>
      <c r="AI6" s="28">
        <f t="shared" ref="AI6:AI37" si="26">+V6/$F$3</f>
        <v>0.24119600166211994</v>
      </c>
      <c r="AJ6" s="28">
        <f t="shared" ref="AJ6:AJ37" si="27">+AH6-AI6</f>
        <v>-0.24119600166211994</v>
      </c>
      <c r="AK6" s="28" t="e">
        <f>+Y6/#REF!</f>
        <v>#REF!</v>
      </c>
      <c r="AL6" s="28" t="e">
        <f>+Z6/#REF!</f>
        <v>#REF!</v>
      </c>
      <c r="AM6" s="28" t="e">
        <f>+AK6-AL6</f>
        <v>#REF!</v>
      </c>
      <c r="AN6" s="64">
        <f>+COUNTIFS(FieldWy!A:A,H6,FieldWy!F:F,"&lt;&gt;")</f>
        <v>0</v>
      </c>
      <c r="AO6" s="86">
        <f t="shared" ref="AO6:AO37" si="28">+M6-AN6</f>
        <v>0</v>
      </c>
      <c r="AP6" s="64">
        <f>+COUNTIFS(FieldWy!A:A,H6,FieldWy!F:F,"&lt;&gt;",FieldWy!AA:AA,"true")</f>
        <v>0</v>
      </c>
      <c r="AQ6" s="86">
        <f t="shared" ref="AQ6:AQ37" si="29">+Q6-AP6</f>
        <v>0</v>
      </c>
      <c r="AR6" s="64">
        <f>+COUNTIFS(FieldWy!A:A,H6,FieldWy!F:F,"&lt;&gt;",FieldWy!X:X,"PORTABILIDAD")</f>
        <v>0</v>
      </c>
      <c r="AS6" s="64">
        <f t="shared" ref="AS6:AS37" si="30">+U6+AR6</f>
        <v>0</v>
      </c>
      <c r="AT6" s="64">
        <f>+AN6-(AP6+AR6)</f>
        <v>0</v>
      </c>
      <c r="AU6" s="86">
        <f t="shared" ref="AU6:AU37" si="31">+Y6-AT6</f>
        <v>0</v>
      </c>
    </row>
    <row r="7" spans="1:57" x14ac:dyDescent="0.2">
      <c r="A7" s="43" t="s">
        <v>99</v>
      </c>
      <c r="B7" s="43" t="s">
        <v>557</v>
      </c>
      <c r="C7" s="43">
        <v>1</v>
      </c>
      <c r="D7" s="43" t="s">
        <v>387</v>
      </c>
      <c r="E7" s="43"/>
      <c r="F7" s="43"/>
      <c r="G7" s="43" t="s">
        <v>343</v>
      </c>
      <c r="H7" s="43">
        <v>2090172</v>
      </c>
      <c r="I7" s="43" t="s">
        <v>19</v>
      </c>
      <c r="J7" s="43" t="s">
        <v>17</v>
      </c>
      <c r="K7" s="43" t="s">
        <v>5</v>
      </c>
      <c r="L7" s="66">
        <f t="shared" si="10"/>
        <v>0</v>
      </c>
      <c r="M7" s="77">
        <f>SUM(Altas!E4:AI4)</f>
        <v>0</v>
      </c>
      <c r="N7" s="77">
        <f>VLOOKUP(H7,Cuota!$D:$DU,119,0)</f>
        <v>2.9949351707647791</v>
      </c>
      <c r="O7" s="77">
        <f t="shared" si="11"/>
        <v>-2.9949351707647791</v>
      </c>
      <c r="P7" s="66">
        <f t="shared" si="12"/>
        <v>0</v>
      </c>
      <c r="Q7" s="77">
        <f>+SUM(Altas!E51:AI51)</f>
        <v>0</v>
      </c>
      <c r="R7" s="77">
        <f>VLOOKUP(H7,Tabla2[[#All],[IDPV]:[PP VOZ]],120,0)</f>
        <v>1.6522435014615955</v>
      </c>
      <c r="S7" s="77">
        <f t="shared" si="13"/>
        <v>-1.6522435014615955</v>
      </c>
      <c r="T7" s="66">
        <f t="shared" si="14"/>
        <v>0</v>
      </c>
      <c r="U7" s="78">
        <f>+SUM(Altas!E98:AI98)</f>
        <v>0</v>
      </c>
      <c r="V7" s="77">
        <f>VLOOKUP(H7,Tabla2[[#All],[IDPV]:[PP VOZ]],121,0)</f>
        <v>0.24119600166211994</v>
      </c>
      <c r="W7" s="77">
        <f t="shared" si="15"/>
        <v>-0.24119600166211994</v>
      </c>
      <c r="X7" s="66">
        <f t="shared" si="16"/>
        <v>0</v>
      </c>
      <c r="Y7" s="77">
        <f t="shared" si="17"/>
        <v>0</v>
      </c>
      <c r="Z7" s="77">
        <f>VLOOKUP(H7,Tabla2[[#All],[IDPV]:[PP VOZ]],122,0)</f>
        <v>1.1014956676410637</v>
      </c>
      <c r="AA7" s="77">
        <f t="shared" si="18"/>
        <v>-1.1014956676410637</v>
      </c>
      <c r="AB7" s="28">
        <f t="shared" si="19"/>
        <v>0</v>
      </c>
      <c r="AC7" s="28">
        <f t="shared" si="20"/>
        <v>2.9949351707647791</v>
      </c>
      <c r="AD7" s="28">
        <f t="shared" si="21"/>
        <v>-2.9949351707647791</v>
      </c>
      <c r="AE7" s="28">
        <f t="shared" si="22"/>
        <v>0</v>
      </c>
      <c r="AF7" s="28">
        <f t="shared" si="23"/>
        <v>1.6522435014615955</v>
      </c>
      <c r="AG7" s="28">
        <f t="shared" si="24"/>
        <v>-1.6522435014615955</v>
      </c>
      <c r="AH7" s="28">
        <f t="shared" si="25"/>
        <v>0</v>
      </c>
      <c r="AI7" s="28">
        <f t="shared" si="26"/>
        <v>0.24119600166211994</v>
      </c>
      <c r="AJ7" s="28">
        <f t="shared" si="27"/>
        <v>-0.24119600166211994</v>
      </c>
      <c r="AK7" s="28" t="e">
        <f>+Y7/#REF!</f>
        <v>#REF!</v>
      </c>
      <c r="AL7" s="28" t="e">
        <f>+Z7/#REF!</f>
        <v>#REF!</v>
      </c>
      <c r="AM7" s="28" t="e">
        <f>+AK7-AL7</f>
        <v>#REF!</v>
      </c>
      <c r="AN7" s="64">
        <f>+COUNTIFS(FieldWy!A:A,H7,FieldWy!F:F,"&lt;&gt;")</f>
        <v>0</v>
      </c>
      <c r="AO7" s="86">
        <f t="shared" si="28"/>
        <v>0</v>
      </c>
      <c r="AP7" s="64">
        <f>+COUNTIFS(FieldWy!A:A,H7,FieldWy!F:F,"&lt;&gt;",FieldWy!AA:AA,"true")</f>
        <v>0</v>
      </c>
      <c r="AQ7" s="86">
        <f t="shared" si="29"/>
        <v>0</v>
      </c>
      <c r="AR7" s="64">
        <f>+COUNTIFS(FieldWy!A:A,H7,FieldWy!F:F,"&lt;&gt;",FieldWy!X:X,"PORTABILIDAD")</f>
        <v>0</v>
      </c>
      <c r="AS7" s="64">
        <f t="shared" si="30"/>
        <v>0</v>
      </c>
      <c r="AT7" s="64">
        <f t="shared" ref="AT7:AT70" si="32">+AN7-(AP7+AR7)</f>
        <v>0</v>
      </c>
      <c r="AU7" s="86">
        <f t="shared" si="31"/>
        <v>0</v>
      </c>
    </row>
    <row r="8" spans="1:57" hidden="1" x14ac:dyDescent="0.2">
      <c r="A8" t="s">
        <v>454</v>
      </c>
      <c r="B8" t="s">
        <v>450</v>
      </c>
      <c r="C8" s="43">
        <v>1</v>
      </c>
      <c r="H8">
        <v>2090173</v>
      </c>
      <c r="I8" t="s">
        <v>388</v>
      </c>
      <c r="J8" t="s">
        <v>459</v>
      </c>
      <c r="K8" s="43" t="s">
        <v>280</v>
      </c>
      <c r="L8" s="66">
        <f t="shared" si="10"/>
        <v>0</v>
      </c>
      <c r="M8" s="77">
        <f>SUM(Altas!E5:AI5)</f>
        <v>0</v>
      </c>
      <c r="N8" s="77">
        <f>VLOOKUP(H8,Cuota!$D:$DU,119,0)</f>
        <v>1.6522435014615955</v>
      </c>
      <c r="O8" s="77">
        <f t="shared" si="11"/>
        <v>-1.6522435014615955</v>
      </c>
      <c r="P8" s="66">
        <f t="shared" si="12"/>
        <v>0</v>
      </c>
      <c r="Q8" s="77">
        <f>+SUM(Altas!E52:AI52)</f>
        <v>0</v>
      </c>
      <c r="R8" s="77">
        <f>VLOOKUP(H8,Tabla2[[#All],[IDPV]:[PP VOZ]],120,0)</f>
        <v>0.96380870918593065</v>
      </c>
      <c r="S8" s="77">
        <f t="shared" si="13"/>
        <v>-0.96380870918593065</v>
      </c>
      <c r="T8" s="66">
        <f t="shared" si="14"/>
        <v>0</v>
      </c>
      <c r="U8" s="78">
        <f>+SUM(Altas!E99:AI99)</f>
        <v>0</v>
      </c>
      <c r="V8" s="77">
        <f>VLOOKUP(H8,Tabla2[[#All],[IDPV]:[PP VOZ]],121,0)</f>
        <v>0</v>
      </c>
      <c r="W8" s="77">
        <f t="shared" si="15"/>
        <v>0</v>
      </c>
      <c r="X8" s="66">
        <f t="shared" si="16"/>
        <v>0</v>
      </c>
      <c r="Y8" s="77">
        <f t="shared" si="17"/>
        <v>0</v>
      </c>
      <c r="Z8" s="77">
        <f>VLOOKUP(H8,Tabla2[[#All],[IDPV]:[PP VOZ]],122,0)</f>
        <v>0.68843479227566484</v>
      </c>
      <c r="AA8" s="77">
        <f t="shared" si="18"/>
        <v>-0.68843479227566484</v>
      </c>
      <c r="AB8" s="28">
        <f t="shared" si="19"/>
        <v>0</v>
      </c>
      <c r="AC8" s="28">
        <f t="shared" si="20"/>
        <v>1.6522435014615955</v>
      </c>
      <c r="AD8" s="28">
        <f t="shared" si="21"/>
        <v>-1.6522435014615955</v>
      </c>
      <c r="AE8" s="28">
        <f t="shared" si="22"/>
        <v>0</v>
      </c>
      <c r="AF8" s="28">
        <f t="shared" si="23"/>
        <v>0.96380870918593065</v>
      </c>
      <c r="AG8" s="28">
        <f t="shared" si="24"/>
        <v>-0.96380870918593065</v>
      </c>
      <c r="AH8" s="28">
        <f t="shared" si="25"/>
        <v>0</v>
      </c>
      <c r="AI8" s="28">
        <f t="shared" si="26"/>
        <v>0</v>
      </c>
      <c r="AJ8" s="28">
        <f t="shared" si="27"/>
        <v>0</v>
      </c>
      <c r="AN8" s="64">
        <f>+COUNTIFS(FieldWy!A:A,H8,FieldWy!F:F,"&lt;&gt;")</f>
        <v>0</v>
      </c>
      <c r="AO8" s="86">
        <f t="shared" si="28"/>
        <v>0</v>
      </c>
      <c r="AP8" s="64">
        <f>+COUNTIFS(FieldWy!A:A,H8,FieldWy!F:F,"&lt;&gt;",FieldWy!AA:AA,"true")</f>
        <v>0</v>
      </c>
      <c r="AQ8" s="86">
        <f t="shared" si="29"/>
        <v>0</v>
      </c>
      <c r="AR8" s="64">
        <f>+COUNTIFS(FieldWy!A:A,H8,FieldWy!F:F,"&lt;&gt;",FieldWy!X:X,"PORTABILIDAD")</f>
        <v>0</v>
      </c>
      <c r="AS8" s="64">
        <f t="shared" si="30"/>
        <v>0</v>
      </c>
      <c r="AT8" s="64">
        <f t="shared" si="32"/>
        <v>0</v>
      </c>
      <c r="AU8" s="86">
        <f t="shared" si="31"/>
        <v>0</v>
      </c>
    </row>
    <row r="9" spans="1:57" hidden="1" x14ac:dyDescent="0.2">
      <c r="A9" t="s">
        <v>455</v>
      </c>
      <c r="B9" t="s">
        <v>451</v>
      </c>
      <c r="C9" s="43">
        <v>1</v>
      </c>
      <c r="H9">
        <v>2090174</v>
      </c>
      <c r="I9" t="s">
        <v>389</v>
      </c>
      <c r="J9" t="s">
        <v>460</v>
      </c>
      <c r="K9" s="43" t="s">
        <v>280</v>
      </c>
      <c r="L9" s="66">
        <f t="shared" si="10"/>
        <v>0</v>
      </c>
      <c r="M9" s="77">
        <f>SUM(Altas!E6:AI6)</f>
        <v>0</v>
      </c>
      <c r="N9" s="77">
        <f>VLOOKUP(H9,Cuota!$D:$DU,119,0)</f>
        <v>1.7728415022926554</v>
      </c>
      <c r="O9" s="77">
        <f t="shared" si="11"/>
        <v>-1.7728415022926554</v>
      </c>
      <c r="P9" s="66">
        <f t="shared" si="12"/>
        <v>0</v>
      </c>
      <c r="Q9" s="77">
        <f>+SUM(Altas!E53:AI53)</f>
        <v>0</v>
      </c>
      <c r="R9" s="77">
        <f>VLOOKUP(H9,Tabla2[[#All],[IDPV]:[PP VOZ]],120,0)</f>
        <v>0.96380870918593065</v>
      </c>
      <c r="S9" s="77">
        <f t="shared" si="13"/>
        <v>-0.96380870918593065</v>
      </c>
      <c r="T9" s="66">
        <f t="shared" si="14"/>
        <v>0</v>
      </c>
      <c r="U9" s="78">
        <f>+SUM(Altas!E100:AI100)</f>
        <v>0</v>
      </c>
      <c r="V9" s="77">
        <f>VLOOKUP(H9,Tabla2[[#All],[IDPV]:[PP VOZ]],121,0)</f>
        <v>0.12059800083105997</v>
      </c>
      <c r="W9" s="77">
        <f t="shared" si="15"/>
        <v>-0.12059800083105997</v>
      </c>
      <c r="X9" s="66">
        <f t="shared" si="16"/>
        <v>0</v>
      </c>
      <c r="Y9" s="77">
        <f t="shared" si="17"/>
        <v>0</v>
      </c>
      <c r="Z9" s="77">
        <f>VLOOKUP(H9,Tabla2[[#All],[IDPV]:[PP VOZ]],122,0)</f>
        <v>0.68843479227566484</v>
      </c>
      <c r="AA9" s="77">
        <f t="shared" si="18"/>
        <v>-0.68843479227566484</v>
      </c>
      <c r="AB9" s="28">
        <f t="shared" si="19"/>
        <v>0</v>
      </c>
      <c r="AC9" s="28">
        <f t="shared" si="20"/>
        <v>1.7728415022926554</v>
      </c>
      <c r="AD9" s="28">
        <f t="shared" si="21"/>
        <v>-1.7728415022926554</v>
      </c>
      <c r="AE9" s="28">
        <f t="shared" si="22"/>
        <v>0</v>
      </c>
      <c r="AF9" s="28">
        <f t="shared" si="23"/>
        <v>0.96380870918593065</v>
      </c>
      <c r="AG9" s="28">
        <f t="shared" si="24"/>
        <v>-0.96380870918593065</v>
      </c>
      <c r="AH9" s="28">
        <f t="shared" si="25"/>
        <v>0</v>
      </c>
      <c r="AI9" s="28">
        <f t="shared" si="26"/>
        <v>0.12059800083105997</v>
      </c>
      <c r="AJ9" s="28">
        <f t="shared" si="27"/>
        <v>-0.12059800083105997</v>
      </c>
      <c r="AN9" s="64">
        <f>+COUNTIFS(FieldWy!A:A,H9,FieldWy!F:F,"&lt;&gt;")</f>
        <v>0</v>
      </c>
      <c r="AO9" s="86">
        <f t="shared" si="28"/>
        <v>0</v>
      </c>
      <c r="AP9" s="64">
        <f>+COUNTIFS(FieldWy!A:A,H9,FieldWy!F:F,"&lt;&gt;",FieldWy!AA:AA,"true")</f>
        <v>0</v>
      </c>
      <c r="AQ9" s="86">
        <f t="shared" si="29"/>
        <v>0</v>
      </c>
      <c r="AR9" s="64">
        <f>+COUNTIFS(FieldWy!A:A,H9,FieldWy!F:F,"&lt;&gt;",FieldWy!X:X,"PORTABILIDAD")</f>
        <v>0</v>
      </c>
      <c r="AS9" s="64">
        <f t="shared" si="30"/>
        <v>0</v>
      </c>
      <c r="AT9" s="64">
        <f t="shared" si="32"/>
        <v>0</v>
      </c>
      <c r="AU9" s="86">
        <f t="shared" si="31"/>
        <v>0</v>
      </c>
    </row>
    <row r="10" spans="1:57" hidden="1" x14ac:dyDescent="0.2">
      <c r="A10" t="s">
        <v>455</v>
      </c>
      <c r="B10" t="s">
        <v>451</v>
      </c>
      <c r="C10" s="43">
        <v>1</v>
      </c>
      <c r="H10">
        <v>2090175</v>
      </c>
      <c r="I10" t="s">
        <v>390</v>
      </c>
      <c r="J10" t="s">
        <v>460</v>
      </c>
      <c r="K10" s="43" t="s">
        <v>280</v>
      </c>
      <c r="L10" s="66">
        <f t="shared" si="10"/>
        <v>0</v>
      </c>
      <c r="M10" s="77">
        <f>SUM(Altas!E7:AI7)</f>
        <v>0</v>
      </c>
      <c r="N10" s="77">
        <f>VLOOKUP(H10,Cuota!$D:$DU,119,0)</f>
        <v>4.0964308384058423</v>
      </c>
      <c r="O10" s="77">
        <f t="shared" si="11"/>
        <v>-4.0964308384058423</v>
      </c>
      <c r="P10" s="66">
        <f t="shared" si="12"/>
        <v>0</v>
      </c>
      <c r="Q10" s="77">
        <f>+SUM(Altas!E54:AI54)</f>
        <v>0</v>
      </c>
      <c r="R10" s="77">
        <f>VLOOKUP(H10,Tabla2[[#All],[IDPV]:[PP VOZ]],120,0)</f>
        <v>2.6160522106475264</v>
      </c>
      <c r="S10" s="77">
        <f t="shared" si="13"/>
        <v>-2.6160522106475264</v>
      </c>
      <c r="T10" s="66">
        <f t="shared" si="14"/>
        <v>0</v>
      </c>
      <c r="U10" s="78">
        <f>+SUM(Altas!E101:AI101)</f>
        <v>0</v>
      </c>
      <c r="V10" s="77">
        <f>VLOOKUP(H10,Tabla2[[#All],[IDPV]:[PP VOZ]],121,0)</f>
        <v>0.24119600166211994</v>
      </c>
      <c r="W10" s="77">
        <f t="shared" si="15"/>
        <v>-0.24119600166211994</v>
      </c>
      <c r="X10" s="66">
        <f t="shared" si="16"/>
        <v>0</v>
      </c>
      <c r="Y10" s="77">
        <f t="shared" si="17"/>
        <v>0</v>
      </c>
      <c r="Z10" s="77">
        <f>VLOOKUP(H10,Tabla2[[#All],[IDPV]:[PP VOZ]],122,0)</f>
        <v>1.2391826260961962</v>
      </c>
      <c r="AA10" s="77">
        <f t="shared" si="18"/>
        <v>-1.2391826260961962</v>
      </c>
      <c r="AB10" s="28">
        <f t="shared" si="19"/>
        <v>0</v>
      </c>
      <c r="AC10" s="28">
        <f t="shared" si="20"/>
        <v>4.0964308384058423</v>
      </c>
      <c r="AD10" s="28">
        <f t="shared" si="21"/>
        <v>-4.0964308384058423</v>
      </c>
      <c r="AE10" s="28">
        <f t="shared" si="22"/>
        <v>0</v>
      </c>
      <c r="AF10" s="28">
        <f t="shared" si="23"/>
        <v>2.6160522106475264</v>
      </c>
      <c r="AG10" s="28">
        <f t="shared" si="24"/>
        <v>-2.6160522106475264</v>
      </c>
      <c r="AH10" s="28">
        <f t="shared" si="25"/>
        <v>0</v>
      </c>
      <c r="AI10" s="28">
        <f t="shared" si="26"/>
        <v>0.24119600166211994</v>
      </c>
      <c r="AJ10" s="28">
        <f t="shared" si="27"/>
        <v>-0.24119600166211994</v>
      </c>
      <c r="AN10" s="64">
        <f>+COUNTIFS(FieldWy!A:A,H10,FieldWy!F:F,"&lt;&gt;")</f>
        <v>0</v>
      </c>
      <c r="AO10" s="86">
        <f t="shared" si="28"/>
        <v>0</v>
      </c>
      <c r="AP10" s="64">
        <f>+COUNTIFS(FieldWy!A:A,H10,FieldWy!F:F,"&lt;&gt;",FieldWy!AA:AA,"true")</f>
        <v>0</v>
      </c>
      <c r="AQ10" s="86">
        <f t="shared" si="29"/>
        <v>0</v>
      </c>
      <c r="AR10" s="64">
        <f>+COUNTIFS(FieldWy!A:A,H10,FieldWy!F:F,"&lt;&gt;",FieldWy!X:X,"PORTABILIDAD")</f>
        <v>0</v>
      </c>
      <c r="AS10" s="64">
        <f t="shared" si="30"/>
        <v>0</v>
      </c>
      <c r="AT10" s="64">
        <f t="shared" si="32"/>
        <v>0</v>
      </c>
      <c r="AU10" s="86">
        <f t="shared" si="31"/>
        <v>0</v>
      </c>
    </row>
    <row r="11" spans="1:57" hidden="1" x14ac:dyDescent="0.2">
      <c r="A11" t="s">
        <v>455</v>
      </c>
      <c r="B11" t="s">
        <v>451</v>
      </c>
      <c r="C11" s="43">
        <v>1</v>
      </c>
      <c r="H11">
        <v>2090176</v>
      </c>
      <c r="I11" t="s">
        <v>391</v>
      </c>
      <c r="J11" t="s">
        <v>460</v>
      </c>
      <c r="K11" s="43" t="s">
        <v>280</v>
      </c>
      <c r="L11" s="66">
        <f t="shared" si="10"/>
        <v>0</v>
      </c>
      <c r="M11" s="77">
        <f>SUM(Altas!E8:AI8)</f>
        <v>0</v>
      </c>
      <c r="N11" s="77">
        <f>VLOOKUP(H11,Cuota!$D:$DU,119,0)</f>
        <v>4.8019545883055805</v>
      </c>
      <c r="O11" s="77">
        <f t="shared" si="11"/>
        <v>-4.8019545883055805</v>
      </c>
      <c r="P11" s="66">
        <f t="shared" si="12"/>
        <v>0</v>
      </c>
      <c r="Q11" s="77">
        <f>+SUM(Altas!E55:AI55)</f>
        <v>0</v>
      </c>
      <c r="R11" s="77">
        <f>VLOOKUP(H11,Tabla2[[#All],[IDPV]:[PP VOZ]],120,0)</f>
        <v>3.8552348367437226</v>
      </c>
      <c r="S11" s="77">
        <f t="shared" si="13"/>
        <v>-3.8552348367437226</v>
      </c>
      <c r="T11" s="66">
        <f t="shared" si="14"/>
        <v>0</v>
      </c>
      <c r="U11" s="78">
        <f>+SUM(Altas!E102:AI102)</f>
        <v>0</v>
      </c>
      <c r="V11" s="77">
        <f>VLOOKUP(H11,Tabla2[[#All],[IDPV]:[PP VOZ]],121,0)</f>
        <v>0.12059800083105997</v>
      </c>
      <c r="W11" s="77">
        <f t="shared" si="15"/>
        <v>-0.12059800083105997</v>
      </c>
      <c r="X11" s="66">
        <f t="shared" si="16"/>
        <v>0</v>
      </c>
      <c r="Y11" s="77">
        <f t="shared" si="17"/>
        <v>0</v>
      </c>
      <c r="Z11" s="77">
        <f>VLOOKUP(H11,Tabla2[[#All],[IDPV]:[PP VOZ]],122,0)</f>
        <v>0.82612175073079808</v>
      </c>
      <c r="AA11" s="77">
        <f t="shared" si="18"/>
        <v>-0.82612175073079808</v>
      </c>
      <c r="AB11" s="28">
        <f t="shared" si="19"/>
        <v>0</v>
      </c>
      <c r="AC11" s="28">
        <f t="shared" si="20"/>
        <v>4.8019545883055805</v>
      </c>
      <c r="AD11" s="28">
        <f t="shared" si="21"/>
        <v>-4.8019545883055805</v>
      </c>
      <c r="AE11" s="28">
        <f t="shared" si="22"/>
        <v>0</v>
      </c>
      <c r="AF11" s="28">
        <f t="shared" si="23"/>
        <v>3.8552348367437226</v>
      </c>
      <c r="AG11" s="28">
        <f t="shared" si="24"/>
        <v>-3.8552348367437226</v>
      </c>
      <c r="AH11" s="28">
        <f t="shared" si="25"/>
        <v>0</v>
      </c>
      <c r="AI11" s="28">
        <f t="shared" si="26"/>
        <v>0.12059800083105997</v>
      </c>
      <c r="AJ11" s="28">
        <f t="shared" si="27"/>
        <v>-0.12059800083105997</v>
      </c>
      <c r="AN11" s="64">
        <f>+COUNTIFS(FieldWy!A:A,H11,FieldWy!F:F,"&lt;&gt;")</f>
        <v>0</v>
      </c>
      <c r="AO11" s="86">
        <f t="shared" si="28"/>
        <v>0</v>
      </c>
      <c r="AP11" s="64">
        <f>+COUNTIFS(FieldWy!A:A,H11,FieldWy!F:F,"&lt;&gt;",FieldWy!AA:AA,"true")</f>
        <v>0</v>
      </c>
      <c r="AQ11" s="86">
        <f t="shared" si="29"/>
        <v>0</v>
      </c>
      <c r="AR11" s="64">
        <f>+COUNTIFS(FieldWy!A:A,H11,FieldWy!F:F,"&lt;&gt;",FieldWy!X:X,"PORTABILIDAD")</f>
        <v>0</v>
      </c>
      <c r="AS11" s="64">
        <f t="shared" si="30"/>
        <v>0</v>
      </c>
      <c r="AT11" s="64">
        <f t="shared" si="32"/>
        <v>0</v>
      </c>
      <c r="AU11" s="86">
        <f t="shared" si="31"/>
        <v>0</v>
      </c>
    </row>
    <row r="12" spans="1:57" hidden="1" x14ac:dyDescent="0.2">
      <c r="A12" t="s">
        <v>455</v>
      </c>
      <c r="B12" t="s">
        <v>452</v>
      </c>
      <c r="C12" s="43">
        <v>1</v>
      </c>
      <c r="H12">
        <v>2090552</v>
      </c>
      <c r="I12" t="s">
        <v>392</v>
      </c>
      <c r="J12" t="s">
        <v>459</v>
      </c>
      <c r="K12" s="43" t="s">
        <v>282</v>
      </c>
      <c r="L12" s="66">
        <f t="shared" si="10"/>
        <v>0</v>
      </c>
      <c r="M12" s="77">
        <f>SUM(Altas!E9:AI9)</f>
        <v>0</v>
      </c>
      <c r="N12" s="77">
        <f>VLOOKUP(H12,Cuota!$D:$DU,119,0)</f>
        <v>1.7728415022926556</v>
      </c>
      <c r="O12" s="77">
        <f t="shared" si="11"/>
        <v>-1.7728415022926556</v>
      </c>
      <c r="P12" s="66">
        <f t="shared" si="12"/>
        <v>0</v>
      </c>
      <c r="Q12" s="77">
        <f>+SUM(Altas!E56:AI56)</f>
        <v>0</v>
      </c>
      <c r="R12" s="77">
        <f>VLOOKUP(H12,Tabla2[[#All],[IDPV]:[PP VOZ]],120,0)</f>
        <v>1.3768695845513297</v>
      </c>
      <c r="S12" s="77">
        <f t="shared" si="13"/>
        <v>-1.3768695845513297</v>
      </c>
      <c r="T12" s="66">
        <f t="shared" si="14"/>
        <v>0</v>
      </c>
      <c r="U12" s="78">
        <f>+SUM(Altas!E103:AI103)</f>
        <v>0</v>
      </c>
      <c r="V12" s="77">
        <f>VLOOKUP(H12,Tabla2[[#All],[IDPV]:[PP VOZ]],121,0)</f>
        <v>0.12059800083105997</v>
      </c>
      <c r="W12" s="77">
        <f t="shared" si="15"/>
        <v>-0.12059800083105997</v>
      </c>
      <c r="X12" s="66">
        <f t="shared" si="16"/>
        <v>0</v>
      </c>
      <c r="Y12" s="77">
        <f t="shared" si="17"/>
        <v>0</v>
      </c>
      <c r="Z12" s="77">
        <f>VLOOKUP(H12,Tabla2[[#All],[IDPV]:[PP VOZ]],122,0)</f>
        <v>0.27537391691026603</v>
      </c>
      <c r="AA12" s="77">
        <f t="shared" si="18"/>
        <v>-0.27537391691026603</v>
      </c>
      <c r="AB12" s="28">
        <f t="shared" si="19"/>
        <v>0</v>
      </c>
      <c r="AC12" s="28">
        <f t="shared" si="20"/>
        <v>1.7728415022926556</v>
      </c>
      <c r="AD12" s="28">
        <f t="shared" si="21"/>
        <v>-1.7728415022926556</v>
      </c>
      <c r="AE12" s="28">
        <f t="shared" si="22"/>
        <v>0</v>
      </c>
      <c r="AF12" s="28">
        <f t="shared" si="23"/>
        <v>1.3768695845513297</v>
      </c>
      <c r="AG12" s="28">
        <f t="shared" si="24"/>
        <v>-1.3768695845513297</v>
      </c>
      <c r="AH12" s="28">
        <f t="shared" si="25"/>
        <v>0</v>
      </c>
      <c r="AI12" s="28">
        <f t="shared" si="26"/>
        <v>0.12059800083105997</v>
      </c>
      <c r="AJ12" s="28">
        <f t="shared" si="27"/>
        <v>-0.12059800083105997</v>
      </c>
      <c r="AN12" s="64">
        <f>+COUNTIFS(FieldWy!A:A,H12,FieldWy!F:F,"&lt;&gt;")</f>
        <v>0</v>
      </c>
      <c r="AO12" s="86">
        <f t="shared" si="28"/>
        <v>0</v>
      </c>
      <c r="AP12" s="64">
        <f>+COUNTIFS(FieldWy!A:A,H12,FieldWy!F:F,"&lt;&gt;",FieldWy!AA:AA,"true")</f>
        <v>0</v>
      </c>
      <c r="AQ12" s="86">
        <f t="shared" si="29"/>
        <v>0</v>
      </c>
      <c r="AR12" s="64">
        <f>+COUNTIFS(FieldWy!A:A,H12,FieldWy!F:F,"&lt;&gt;",FieldWy!X:X,"PORTABILIDAD")</f>
        <v>0</v>
      </c>
      <c r="AS12" s="64">
        <f t="shared" si="30"/>
        <v>0</v>
      </c>
      <c r="AT12" s="64">
        <f t="shared" si="32"/>
        <v>0</v>
      </c>
      <c r="AU12" s="86">
        <f t="shared" si="31"/>
        <v>0</v>
      </c>
    </row>
    <row r="13" spans="1:57" hidden="1" x14ac:dyDescent="0.2">
      <c r="A13" t="s">
        <v>455</v>
      </c>
      <c r="B13" t="s">
        <v>451</v>
      </c>
      <c r="C13" s="43">
        <v>1</v>
      </c>
      <c r="H13">
        <v>2090559</v>
      </c>
      <c r="I13" t="s">
        <v>393</v>
      </c>
      <c r="J13" t="s">
        <v>460</v>
      </c>
      <c r="K13" s="43" t="s">
        <v>282</v>
      </c>
      <c r="L13" s="66">
        <f t="shared" si="10"/>
        <v>0</v>
      </c>
      <c r="M13" s="77">
        <f>SUM(Altas!E10:AI10)</f>
        <v>0</v>
      </c>
      <c r="N13" s="77">
        <f>VLOOKUP(H13,Cuota!$D:$DU,119,0)</f>
        <v>1.9105284607477884</v>
      </c>
      <c r="O13" s="77">
        <f t="shared" si="11"/>
        <v>-1.9105284607477884</v>
      </c>
      <c r="P13" s="66">
        <f t="shared" si="12"/>
        <v>0</v>
      </c>
      <c r="Q13" s="77">
        <f>+SUM(Altas!E57:AI57)</f>
        <v>0</v>
      </c>
      <c r="R13" s="77">
        <f>VLOOKUP(H13,Tabla2[[#All],[IDPV]:[PP VOZ]],120,0)</f>
        <v>1.1014956676410637</v>
      </c>
      <c r="S13" s="77">
        <f t="shared" si="13"/>
        <v>-1.1014956676410637</v>
      </c>
      <c r="T13" s="66">
        <f t="shared" si="14"/>
        <v>0</v>
      </c>
      <c r="U13" s="78">
        <f>+SUM(Altas!E104:AI104)</f>
        <v>0</v>
      </c>
      <c r="V13" s="77">
        <f>VLOOKUP(H13,Tabla2[[#All],[IDPV]:[PP VOZ]],121,0)</f>
        <v>0.12059800083105997</v>
      </c>
      <c r="W13" s="77">
        <f t="shared" si="15"/>
        <v>-0.12059800083105997</v>
      </c>
      <c r="X13" s="66">
        <f t="shared" si="16"/>
        <v>0</v>
      </c>
      <c r="Y13" s="77">
        <f t="shared" si="17"/>
        <v>0</v>
      </c>
      <c r="Z13" s="77">
        <f>VLOOKUP(H13,Tabla2[[#All],[IDPV]:[PP VOZ]],122,0)</f>
        <v>0.68843479227566484</v>
      </c>
      <c r="AA13" s="77">
        <f t="shared" si="18"/>
        <v>-0.68843479227566484</v>
      </c>
      <c r="AB13" s="28">
        <f t="shared" si="19"/>
        <v>0</v>
      </c>
      <c r="AC13" s="28">
        <f t="shared" si="20"/>
        <v>1.9105284607477884</v>
      </c>
      <c r="AD13" s="28">
        <f t="shared" si="21"/>
        <v>-1.9105284607477884</v>
      </c>
      <c r="AE13" s="28">
        <f t="shared" si="22"/>
        <v>0</v>
      </c>
      <c r="AF13" s="28">
        <f t="shared" si="23"/>
        <v>1.1014956676410637</v>
      </c>
      <c r="AG13" s="28">
        <f t="shared" si="24"/>
        <v>-1.1014956676410637</v>
      </c>
      <c r="AH13" s="28">
        <f t="shared" si="25"/>
        <v>0</v>
      </c>
      <c r="AI13" s="28">
        <f t="shared" si="26"/>
        <v>0.12059800083105997</v>
      </c>
      <c r="AJ13" s="28">
        <f t="shared" si="27"/>
        <v>-0.12059800083105997</v>
      </c>
      <c r="AN13" s="64">
        <f>+COUNTIFS(FieldWy!A:A,H13,FieldWy!F:F,"&lt;&gt;")</f>
        <v>0</v>
      </c>
      <c r="AO13" s="86">
        <f t="shared" si="28"/>
        <v>0</v>
      </c>
      <c r="AP13" s="64">
        <f>+COUNTIFS(FieldWy!A:A,H13,FieldWy!F:F,"&lt;&gt;",FieldWy!AA:AA,"true")</f>
        <v>0</v>
      </c>
      <c r="AQ13" s="86">
        <f t="shared" si="29"/>
        <v>0</v>
      </c>
      <c r="AR13" s="64">
        <f>+COUNTIFS(FieldWy!A:A,H13,FieldWy!F:F,"&lt;&gt;",FieldWy!X:X,"PORTABILIDAD")</f>
        <v>0</v>
      </c>
      <c r="AS13" s="64">
        <f t="shared" si="30"/>
        <v>0</v>
      </c>
      <c r="AT13" s="64">
        <f t="shared" si="32"/>
        <v>0</v>
      </c>
      <c r="AU13" s="86">
        <f t="shared" si="31"/>
        <v>0</v>
      </c>
    </row>
    <row r="14" spans="1:57" x14ac:dyDescent="0.2">
      <c r="A14" s="43" t="s">
        <v>99</v>
      </c>
      <c r="B14" s="43" t="s">
        <v>557</v>
      </c>
      <c r="C14" s="43">
        <v>1</v>
      </c>
      <c r="D14" s="43" t="s">
        <v>543</v>
      </c>
      <c r="E14" s="43" t="s">
        <v>346</v>
      </c>
      <c r="F14" s="61" t="s">
        <v>383</v>
      </c>
      <c r="G14" s="43" t="s">
        <v>343</v>
      </c>
      <c r="H14" s="43">
        <v>2090618</v>
      </c>
      <c r="I14" s="43" t="s">
        <v>20</v>
      </c>
      <c r="J14" s="43" t="s">
        <v>17</v>
      </c>
      <c r="K14" s="43" t="s">
        <v>5</v>
      </c>
      <c r="L14" s="66">
        <f t="shared" si="10"/>
        <v>0</v>
      </c>
      <c r="M14" s="77">
        <f>SUM(Altas!E11:AI11)</f>
        <v>0</v>
      </c>
      <c r="N14" s="77">
        <f>VLOOKUP(H14,Cuota!$D:$DU,119,0)</f>
        <v>2.3235893361131872</v>
      </c>
      <c r="O14" s="77">
        <f t="shared" si="11"/>
        <v>-2.3235893361131872</v>
      </c>
      <c r="P14" s="66">
        <f t="shared" si="12"/>
        <v>0</v>
      </c>
      <c r="Q14" s="77">
        <f>+SUM(Altas!E58:AI58)</f>
        <v>0</v>
      </c>
      <c r="R14" s="77">
        <f>VLOOKUP(H14,Tabla2[[#All],[IDPV]:[PP VOZ]],120,0)</f>
        <v>1.1014956676410637</v>
      </c>
      <c r="S14" s="77">
        <f t="shared" si="13"/>
        <v>-1.1014956676410637</v>
      </c>
      <c r="T14" s="66">
        <f t="shared" si="14"/>
        <v>0</v>
      </c>
      <c r="U14" s="78">
        <f>+SUM(Altas!E105:AI105)</f>
        <v>0</v>
      </c>
      <c r="V14" s="77">
        <f>VLOOKUP(H14,Tabla2[[#All],[IDPV]:[PP VOZ]],121,0)</f>
        <v>0.12059800083105997</v>
      </c>
      <c r="W14" s="77">
        <f t="shared" si="15"/>
        <v>-0.12059800083105997</v>
      </c>
      <c r="X14" s="66">
        <f t="shared" si="16"/>
        <v>0</v>
      </c>
      <c r="Y14" s="77">
        <f t="shared" si="17"/>
        <v>0</v>
      </c>
      <c r="Z14" s="77">
        <f>VLOOKUP(H14,Tabla2[[#All],[IDPV]:[PP VOZ]],122,0)</f>
        <v>1.1014956676410637</v>
      </c>
      <c r="AA14" s="77">
        <f t="shared" si="18"/>
        <v>-1.1014956676410637</v>
      </c>
      <c r="AB14" s="28">
        <f t="shared" si="19"/>
        <v>0</v>
      </c>
      <c r="AC14" s="28">
        <f t="shared" si="20"/>
        <v>2.3235893361131872</v>
      </c>
      <c r="AD14" s="28">
        <f t="shared" si="21"/>
        <v>-2.3235893361131872</v>
      </c>
      <c r="AE14" s="28">
        <f t="shared" si="22"/>
        <v>0</v>
      </c>
      <c r="AF14" s="28">
        <f t="shared" si="23"/>
        <v>1.1014956676410637</v>
      </c>
      <c r="AG14" s="28">
        <f t="shared" si="24"/>
        <v>-1.1014956676410637</v>
      </c>
      <c r="AH14" s="28">
        <f t="shared" si="25"/>
        <v>0</v>
      </c>
      <c r="AI14" s="28">
        <f t="shared" si="26"/>
        <v>0.12059800083105997</v>
      </c>
      <c r="AJ14" s="28">
        <f t="shared" si="27"/>
        <v>-0.12059800083105997</v>
      </c>
      <c r="AK14" s="28" t="e">
        <f>+Y14/#REF!</f>
        <v>#REF!</v>
      </c>
      <c r="AL14" s="28" t="e">
        <f>+Z14/#REF!</f>
        <v>#REF!</v>
      </c>
      <c r="AM14" s="28" t="e">
        <f>+AK14-AL14</f>
        <v>#REF!</v>
      </c>
      <c r="AN14" s="64">
        <f>+COUNTIFS(FieldWy!A:A,H14,FieldWy!F:F,"&lt;&gt;")</f>
        <v>0</v>
      </c>
      <c r="AO14" s="86">
        <f t="shared" si="28"/>
        <v>0</v>
      </c>
      <c r="AP14" s="64">
        <f>+COUNTIFS(FieldWy!A:A,H14,FieldWy!F:F,"&lt;&gt;",FieldWy!AA:AA,"true")</f>
        <v>0</v>
      </c>
      <c r="AQ14" s="86">
        <f t="shared" si="29"/>
        <v>0</v>
      </c>
      <c r="AR14" s="64">
        <f>+COUNTIFS(FieldWy!A:A,H14,FieldWy!F:F,"&lt;&gt;",FieldWy!X:X,"PORTABILIDAD")</f>
        <v>0</v>
      </c>
      <c r="AS14" s="64">
        <f t="shared" si="30"/>
        <v>0</v>
      </c>
      <c r="AT14" s="64">
        <f t="shared" si="32"/>
        <v>0</v>
      </c>
      <c r="AU14" s="86">
        <f t="shared" si="31"/>
        <v>0</v>
      </c>
    </row>
    <row r="15" spans="1:57" hidden="1" x14ac:dyDescent="0.2">
      <c r="A15" t="s">
        <v>455</v>
      </c>
      <c r="B15" t="s">
        <v>450</v>
      </c>
      <c r="C15" s="43">
        <v>1</v>
      </c>
      <c r="H15">
        <v>2090742</v>
      </c>
      <c r="I15" t="s">
        <v>394</v>
      </c>
      <c r="J15" t="s">
        <v>461</v>
      </c>
      <c r="K15" s="43" t="s">
        <v>280</v>
      </c>
      <c r="L15" s="66">
        <f t="shared" si="10"/>
        <v>0</v>
      </c>
      <c r="M15" s="77">
        <f>SUM(Altas!E12:AI12)</f>
        <v>0</v>
      </c>
      <c r="N15" s="77">
        <f>VLOOKUP(H15,Cuota!$D:$DU,119,0)</f>
        <v>3.9587438799507098</v>
      </c>
      <c r="O15" s="77">
        <f t="shared" si="11"/>
        <v>-3.9587438799507098</v>
      </c>
      <c r="P15" s="66">
        <f t="shared" si="12"/>
        <v>0</v>
      </c>
      <c r="Q15" s="77">
        <f>+SUM(Altas!E59:AI59)</f>
        <v>0</v>
      </c>
      <c r="R15" s="77">
        <f>VLOOKUP(H15,Tabla2[[#All],[IDPV]:[PP VOZ]],120,0)</f>
        <v>2.4783652521923933</v>
      </c>
      <c r="S15" s="77">
        <f t="shared" si="13"/>
        <v>-2.4783652521923933</v>
      </c>
      <c r="T15" s="66">
        <f t="shared" si="14"/>
        <v>0</v>
      </c>
      <c r="U15" s="78">
        <f>+SUM(Altas!E106:AI106)</f>
        <v>0</v>
      </c>
      <c r="V15" s="77">
        <f>VLOOKUP(H15,Tabla2[[#All],[IDPV]:[PP VOZ]],121,0)</f>
        <v>0.24119600166211994</v>
      </c>
      <c r="W15" s="77">
        <f t="shared" si="15"/>
        <v>-0.24119600166211994</v>
      </c>
      <c r="X15" s="66">
        <f t="shared" si="16"/>
        <v>0</v>
      </c>
      <c r="Y15" s="77">
        <f t="shared" si="17"/>
        <v>0</v>
      </c>
      <c r="Z15" s="77">
        <f>VLOOKUP(H15,Tabla2[[#All],[IDPV]:[PP VOZ]],122,0)</f>
        <v>1.2391826260961967</v>
      </c>
      <c r="AA15" s="77">
        <f t="shared" si="18"/>
        <v>-1.2391826260961967</v>
      </c>
      <c r="AB15" s="28">
        <f t="shared" si="19"/>
        <v>0</v>
      </c>
      <c r="AC15" s="28">
        <f t="shared" si="20"/>
        <v>3.9587438799507098</v>
      </c>
      <c r="AD15" s="28">
        <f t="shared" si="21"/>
        <v>-3.9587438799507098</v>
      </c>
      <c r="AE15" s="28">
        <f t="shared" si="22"/>
        <v>0</v>
      </c>
      <c r="AF15" s="28">
        <f t="shared" si="23"/>
        <v>2.4783652521923933</v>
      </c>
      <c r="AG15" s="28">
        <f t="shared" si="24"/>
        <v>-2.4783652521923933</v>
      </c>
      <c r="AH15" s="28">
        <f t="shared" si="25"/>
        <v>0</v>
      </c>
      <c r="AI15" s="28">
        <f t="shared" si="26"/>
        <v>0.24119600166211994</v>
      </c>
      <c r="AJ15" s="28">
        <f t="shared" si="27"/>
        <v>-0.24119600166211994</v>
      </c>
      <c r="AN15" s="64">
        <f>+COUNTIFS(FieldWy!A:A,H15,FieldWy!F:F,"&lt;&gt;")</f>
        <v>0</v>
      </c>
      <c r="AO15" s="86">
        <f t="shared" si="28"/>
        <v>0</v>
      </c>
      <c r="AP15" s="64">
        <f>+COUNTIFS(FieldWy!A:A,H15,FieldWy!F:F,"&lt;&gt;",FieldWy!AA:AA,"true")</f>
        <v>0</v>
      </c>
      <c r="AQ15" s="86">
        <f t="shared" si="29"/>
        <v>0</v>
      </c>
      <c r="AR15" s="64">
        <f>+COUNTIFS(FieldWy!A:A,H15,FieldWy!F:F,"&lt;&gt;",FieldWy!X:X,"PORTABILIDAD")</f>
        <v>0</v>
      </c>
      <c r="AS15" s="64">
        <f t="shared" si="30"/>
        <v>0</v>
      </c>
      <c r="AT15" s="64">
        <f t="shared" si="32"/>
        <v>0</v>
      </c>
      <c r="AU15" s="86">
        <f t="shared" si="31"/>
        <v>0</v>
      </c>
    </row>
    <row r="16" spans="1:57" x14ac:dyDescent="0.2">
      <c r="A16" s="43" t="s">
        <v>99</v>
      </c>
      <c r="B16" s="43" t="s">
        <v>557</v>
      </c>
      <c r="C16" s="43">
        <v>1</v>
      </c>
      <c r="D16" s="43" t="s">
        <v>382</v>
      </c>
      <c r="E16" s="43"/>
      <c r="F16" s="43"/>
      <c r="G16" s="43" t="s">
        <v>305</v>
      </c>
      <c r="H16" s="43">
        <v>2090749</v>
      </c>
      <c r="I16" s="43" t="s">
        <v>22</v>
      </c>
      <c r="J16" s="43" t="s">
        <v>17</v>
      </c>
      <c r="K16" s="43" t="s">
        <v>5</v>
      </c>
      <c r="L16" s="66">
        <f t="shared" si="10"/>
        <v>0</v>
      </c>
      <c r="M16" s="77">
        <f>SUM(Altas!E13:AI13)</f>
        <v>0</v>
      </c>
      <c r="N16" s="77">
        <f>VLOOKUP(H16,Cuota!$D:$DU,119,0)</f>
        <v>2.0482154192029212</v>
      </c>
      <c r="O16" s="77">
        <f t="shared" si="11"/>
        <v>-2.0482154192029212</v>
      </c>
      <c r="P16" s="66">
        <f t="shared" si="12"/>
        <v>0</v>
      </c>
      <c r="Q16" s="77">
        <f>+SUM(Altas!E60:AI60)</f>
        <v>0</v>
      </c>
      <c r="R16" s="77">
        <f>VLOOKUP(H16,Tabla2[[#All],[IDPV]:[PP VOZ]],120,0)</f>
        <v>0.96380870918593065</v>
      </c>
      <c r="S16" s="77">
        <f t="shared" si="13"/>
        <v>-0.96380870918593065</v>
      </c>
      <c r="T16" s="66">
        <f t="shared" si="14"/>
        <v>0</v>
      </c>
      <c r="U16" s="78">
        <f>+SUM(Altas!E107:AI107)</f>
        <v>0</v>
      </c>
      <c r="V16" s="77">
        <f>VLOOKUP(H16,Tabla2[[#All],[IDPV]:[PP VOZ]],121,0)</f>
        <v>0.12059800083105997</v>
      </c>
      <c r="W16" s="77">
        <f t="shared" si="15"/>
        <v>-0.12059800083105997</v>
      </c>
      <c r="X16" s="66">
        <f t="shared" si="16"/>
        <v>0</v>
      </c>
      <c r="Y16" s="77">
        <f t="shared" si="17"/>
        <v>0</v>
      </c>
      <c r="Z16" s="77">
        <f>VLOOKUP(H16,Tabla2[[#All],[IDPV]:[PP VOZ]],122,0)</f>
        <v>0.96380870918593065</v>
      </c>
      <c r="AA16" s="77">
        <f t="shared" si="18"/>
        <v>-0.96380870918593065</v>
      </c>
      <c r="AB16" s="28">
        <f t="shared" si="19"/>
        <v>0</v>
      </c>
      <c r="AC16" s="28">
        <f t="shared" si="20"/>
        <v>2.0482154192029212</v>
      </c>
      <c r="AD16" s="28">
        <f t="shared" si="21"/>
        <v>-2.0482154192029212</v>
      </c>
      <c r="AE16" s="28">
        <f t="shared" si="22"/>
        <v>0</v>
      </c>
      <c r="AF16" s="28">
        <f t="shared" si="23"/>
        <v>0.96380870918593065</v>
      </c>
      <c r="AG16" s="28">
        <f t="shared" si="24"/>
        <v>-0.96380870918593065</v>
      </c>
      <c r="AH16" s="28">
        <f t="shared" si="25"/>
        <v>0</v>
      </c>
      <c r="AI16" s="28">
        <f t="shared" si="26"/>
        <v>0.12059800083105997</v>
      </c>
      <c r="AJ16" s="28">
        <f t="shared" si="27"/>
        <v>-0.12059800083105997</v>
      </c>
      <c r="AK16" s="28" t="e">
        <f>+Y16/#REF!</f>
        <v>#REF!</v>
      </c>
      <c r="AL16" s="28" t="e">
        <f>+Z16/#REF!</f>
        <v>#REF!</v>
      </c>
      <c r="AM16" s="28" t="e">
        <f>+AK16-AL16</f>
        <v>#REF!</v>
      </c>
      <c r="AN16" s="64">
        <f>+COUNTIFS(FieldWy!A:A,H16,FieldWy!F:F,"&lt;&gt;")</f>
        <v>0</v>
      </c>
      <c r="AO16" s="86">
        <f t="shared" si="28"/>
        <v>0</v>
      </c>
      <c r="AP16" s="64">
        <f>+COUNTIFS(FieldWy!A:A,H16,FieldWy!F:F,"&lt;&gt;",FieldWy!AA:AA,"true")</f>
        <v>0</v>
      </c>
      <c r="AQ16" s="86">
        <f t="shared" si="29"/>
        <v>0</v>
      </c>
      <c r="AR16" s="64">
        <f>+COUNTIFS(FieldWy!A:A,H16,FieldWy!F:F,"&lt;&gt;",FieldWy!X:X,"PORTABILIDAD")</f>
        <v>0</v>
      </c>
      <c r="AS16" s="64">
        <f t="shared" si="30"/>
        <v>0</v>
      </c>
      <c r="AT16" s="64">
        <f t="shared" si="32"/>
        <v>0</v>
      </c>
      <c r="AU16" s="86">
        <f t="shared" si="31"/>
        <v>0</v>
      </c>
    </row>
    <row r="17" spans="1:47" hidden="1" x14ac:dyDescent="0.2">
      <c r="A17" t="s">
        <v>455</v>
      </c>
      <c r="B17" t="s">
        <v>450</v>
      </c>
      <c r="C17" s="43">
        <v>1</v>
      </c>
      <c r="H17">
        <v>2090826</v>
      </c>
      <c r="I17" t="s">
        <v>395</v>
      </c>
      <c r="J17" t="s">
        <v>462</v>
      </c>
      <c r="K17" s="43" t="s">
        <v>280</v>
      </c>
      <c r="L17" s="66">
        <f t="shared" si="10"/>
        <v>0</v>
      </c>
      <c r="M17" s="77">
        <f>SUM(Altas!E14:AI14)</f>
        <v>0</v>
      </c>
      <c r="N17" s="77">
        <f>VLOOKUP(H17,Cuota!$D:$DU,119,0)</f>
        <v>1.7728415022926554</v>
      </c>
      <c r="O17" s="77">
        <f t="shared" si="11"/>
        <v>-1.7728415022926554</v>
      </c>
      <c r="P17" s="66">
        <f t="shared" si="12"/>
        <v>0</v>
      </c>
      <c r="Q17" s="77">
        <f>+SUM(Altas!E61:AI61)</f>
        <v>0</v>
      </c>
      <c r="R17" s="77">
        <f>VLOOKUP(H17,Tabla2[[#All],[IDPV]:[PP VOZ]],120,0)</f>
        <v>1.1014956676410637</v>
      </c>
      <c r="S17" s="77">
        <f t="shared" si="13"/>
        <v>-1.1014956676410637</v>
      </c>
      <c r="T17" s="66">
        <f t="shared" si="14"/>
        <v>0</v>
      </c>
      <c r="U17" s="78">
        <f>+SUM(Altas!E108:AI108)</f>
        <v>0</v>
      </c>
      <c r="V17" s="77">
        <f>VLOOKUP(H17,Tabla2[[#All],[IDPV]:[PP VOZ]],121,0)</f>
        <v>0.12059800083105997</v>
      </c>
      <c r="W17" s="77">
        <f t="shared" si="15"/>
        <v>-0.12059800083105997</v>
      </c>
      <c r="X17" s="66">
        <f t="shared" si="16"/>
        <v>0</v>
      </c>
      <c r="Y17" s="77">
        <f t="shared" si="17"/>
        <v>0</v>
      </c>
      <c r="Z17" s="77">
        <f>VLOOKUP(H17,Tabla2[[#All],[IDPV]:[PP VOZ]],122,0)</f>
        <v>0.55074783382053183</v>
      </c>
      <c r="AA17" s="77">
        <f t="shared" si="18"/>
        <v>-0.55074783382053183</v>
      </c>
      <c r="AB17" s="28">
        <f t="shared" si="19"/>
        <v>0</v>
      </c>
      <c r="AC17" s="28">
        <f t="shared" si="20"/>
        <v>1.7728415022926554</v>
      </c>
      <c r="AD17" s="28">
        <f t="shared" si="21"/>
        <v>-1.7728415022926554</v>
      </c>
      <c r="AE17" s="28">
        <f t="shared" si="22"/>
        <v>0</v>
      </c>
      <c r="AF17" s="28">
        <f t="shared" si="23"/>
        <v>1.1014956676410637</v>
      </c>
      <c r="AG17" s="28">
        <f t="shared" si="24"/>
        <v>-1.1014956676410637</v>
      </c>
      <c r="AH17" s="28">
        <f t="shared" si="25"/>
        <v>0</v>
      </c>
      <c r="AI17" s="28">
        <f t="shared" si="26"/>
        <v>0.12059800083105997</v>
      </c>
      <c r="AJ17" s="28">
        <f t="shared" si="27"/>
        <v>-0.12059800083105997</v>
      </c>
      <c r="AN17" s="64">
        <f>+COUNTIFS(FieldWy!A:A,H17,FieldWy!F:F,"&lt;&gt;")</f>
        <v>0</v>
      </c>
      <c r="AO17" s="86">
        <f t="shared" si="28"/>
        <v>0</v>
      </c>
      <c r="AP17" s="64">
        <f>+COUNTIFS(FieldWy!A:A,H17,FieldWy!F:F,"&lt;&gt;",FieldWy!AA:AA,"true")</f>
        <v>0</v>
      </c>
      <c r="AQ17" s="86">
        <f t="shared" si="29"/>
        <v>0</v>
      </c>
      <c r="AR17" s="64">
        <f>+COUNTIFS(FieldWy!A:A,H17,FieldWy!F:F,"&lt;&gt;",FieldWy!X:X,"PORTABILIDAD")</f>
        <v>0</v>
      </c>
      <c r="AS17" s="64">
        <f t="shared" si="30"/>
        <v>0</v>
      </c>
      <c r="AT17" s="64">
        <f t="shared" si="32"/>
        <v>0</v>
      </c>
      <c r="AU17" s="86">
        <f t="shared" si="31"/>
        <v>0</v>
      </c>
    </row>
    <row r="18" spans="1:47" x14ac:dyDescent="0.2">
      <c r="A18" s="43" t="s">
        <v>99</v>
      </c>
      <c r="B18" s="43" t="s">
        <v>125</v>
      </c>
      <c r="C18" s="43">
        <v>1</v>
      </c>
      <c r="D18" s="43" t="s">
        <v>544</v>
      </c>
      <c r="E18" s="43"/>
      <c r="F18" s="43"/>
      <c r="G18" s="43" t="s">
        <v>305</v>
      </c>
      <c r="H18" s="43">
        <v>2090839</v>
      </c>
      <c r="I18" s="43" t="s">
        <v>6</v>
      </c>
      <c r="J18" s="43" t="s">
        <v>23</v>
      </c>
      <c r="K18" s="43" t="s">
        <v>5</v>
      </c>
      <c r="L18" s="66">
        <f t="shared" si="10"/>
        <v>0</v>
      </c>
      <c r="M18" s="77">
        <f>SUM(Altas!E15:AI15)</f>
        <v>0</v>
      </c>
      <c r="N18" s="77">
        <f>VLOOKUP(H18,Cuota!$D:$DU,119,0)</f>
        <v>3.6833699630404437</v>
      </c>
      <c r="O18" s="77">
        <f t="shared" si="11"/>
        <v>-3.6833699630404437</v>
      </c>
      <c r="P18" s="66">
        <f t="shared" si="12"/>
        <v>0</v>
      </c>
      <c r="Q18" s="77">
        <f>+SUM(Altas!E62:AI62)</f>
        <v>0</v>
      </c>
      <c r="R18" s="77">
        <f>VLOOKUP(H18,Tabla2[[#All],[IDPV]:[PP VOZ]],120,0)</f>
        <v>2.0482154192029212</v>
      </c>
      <c r="S18" s="77">
        <f t="shared" si="13"/>
        <v>-2.0482154192029212</v>
      </c>
      <c r="T18" s="66">
        <f t="shared" si="14"/>
        <v>0</v>
      </c>
      <c r="U18" s="78">
        <f>+SUM(Altas!E109:AI109)</f>
        <v>0</v>
      </c>
      <c r="V18" s="77">
        <f>VLOOKUP(H18,Tabla2[[#All],[IDPV]:[PP VOZ]],121,0)</f>
        <v>0.24119600166211994</v>
      </c>
      <c r="W18" s="77">
        <f t="shared" si="15"/>
        <v>-0.24119600166211994</v>
      </c>
      <c r="X18" s="66">
        <f t="shared" si="16"/>
        <v>0</v>
      </c>
      <c r="Y18" s="77">
        <f t="shared" si="17"/>
        <v>0</v>
      </c>
      <c r="Z18" s="77">
        <f>VLOOKUP(H18,Tabla2[[#All],[IDPV]:[PP VOZ]],122,0)</f>
        <v>1.3939585421754028</v>
      </c>
      <c r="AA18" s="77">
        <f t="shared" si="18"/>
        <v>-1.3939585421754028</v>
      </c>
      <c r="AB18" s="28">
        <f t="shared" si="19"/>
        <v>0</v>
      </c>
      <c r="AC18" s="28">
        <f t="shared" si="20"/>
        <v>3.6833699630404437</v>
      </c>
      <c r="AD18" s="28">
        <f t="shared" si="21"/>
        <v>-3.6833699630404437</v>
      </c>
      <c r="AE18" s="28">
        <f t="shared" si="22"/>
        <v>0</v>
      </c>
      <c r="AF18" s="28">
        <f t="shared" si="23"/>
        <v>2.0482154192029212</v>
      </c>
      <c r="AG18" s="28">
        <f t="shared" si="24"/>
        <v>-2.0482154192029212</v>
      </c>
      <c r="AH18" s="28">
        <f t="shared" si="25"/>
        <v>0</v>
      </c>
      <c r="AI18" s="28">
        <f t="shared" si="26"/>
        <v>0.24119600166211994</v>
      </c>
      <c r="AJ18" s="28">
        <f t="shared" si="27"/>
        <v>-0.24119600166211994</v>
      </c>
      <c r="AK18" s="28" t="e">
        <f>+Y18/#REF!</f>
        <v>#REF!</v>
      </c>
      <c r="AL18" s="28" t="e">
        <f>+Z18/#REF!</f>
        <v>#REF!</v>
      </c>
      <c r="AM18" s="28" t="e">
        <f>+AK18-AL18</f>
        <v>#REF!</v>
      </c>
      <c r="AN18" s="64">
        <f>+COUNTIFS(FieldWy!A:A,H18,FieldWy!F:F,"&lt;&gt;")</f>
        <v>0</v>
      </c>
      <c r="AO18" s="86">
        <f t="shared" si="28"/>
        <v>0</v>
      </c>
      <c r="AP18" s="64">
        <f>+COUNTIFS(FieldWy!A:A,H18,FieldWy!F:F,"&lt;&gt;",FieldWy!AA:AA,"true")</f>
        <v>0</v>
      </c>
      <c r="AQ18" s="86">
        <f t="shared" si="29"/>
        <v>0</v>
      </c>
      <c r="AR18" s="64">
        <f>+COUNTIFS(FieldWy!A:A,H18,FieldWy!F:F,"&lt;&gt;",FieldWy!X:X,"PORTABILIDAD")</f>
        <v>0</v>
      </c>
      <c r="AS18" s="64">
        <f t="shared" si="30"/>
        <v>0</v>
      </c>
      <c r="AT18" s="64">
        <f t="shared" si="32"/>
        <v>0</v>
      </c>
      <c r="AU18" s="86">
        <f t="shared" si="31"/>
        <v>0</v>
      </c>
    </row>
    <row r="19" spans="1:47" x14ac:dyDescent="0.2">
      <c r="A19" s="43" t="s">
        <v>99</v>
      </c>
      <c r="B19" s="43" t="s">
        <v>125</v>
      </c>
      <c r="C19" s="43">
        <v>1</v>
      </c>
      <c r="D19" s="43" t="s">
        <v>382</v>
      </c>
      <c r="E19" s="43" t="s">
        <v>345</v>
      </c>
      <c r="F19" s="61" t="s">
        <v>383</v>
      </c>
      <c r="G19" s="43" t="s">
        <v>305</v>
      </c>
      <c r="H19" s="43">
        <v>2090872</v>
      </c>
      <c r="I19" s="43" t="s">
        <v>24</v>
      </c>
      <c r="J19" s="43" t="s">
        <v>17</v>
      </c>
      <c r="K19" s="43" t="s">
        <v>5</v>
      </c>
      <c r="L19" s="66">
        <f t="shared" si="10"/>
        <v>0</v>
      </c>
      <c r="M19" s="77">
        <f>SUM(Altas!E16:AI16)</f>
        <v>0</v>
      </c>
      <c r="N19" s="77">
        <f>VLOOKUP(H19,Cuota!$D:$DU,119,0)</f>
        <v>2.0482154192029212</v>
      </c>
      <c r="O19" s="77">
        <f t="shared" si="11"/>
        <v>-2.0482154192029212</v>
      </c>
      <c r="P19" s="66">
        <f t="shared" si="12"/>
        <v>0</v>
      </c>
      <c r="Q19" s="77">
        <f>+SUM(Altas!E63:AI63)</f>
        <v>0</v>
      </c>
      <c r="R19" s="77">
        <f>VLOOKUP(H19,Tabla2[[#All],[IDPV]:[PP VOZ]],120,0)</f>
        <v>1.1014956676410637</v>
      </c>
      <c r="S19" s="77">
        <f t="shared" si="13"/>
        <v>-1.1014956676410637</v>
      </c>
      <c r="T19" s="66">
        <f t="shared" si="14"/>
        <v>0</v>
      </c>
      <c r="U19" s="78">
        <f>+SUM(Altas!E110:AI110)</f>
        <v>0</v>
      </c>
      <c r="V19" s="77">
        <f>VLOOKUP(H19,Tabla2[[#All],[IDPV]:[PP VOZ]],121,0)</f>
        <v>0.12059800083105997</v>
      </c>
      <c r="W19" s="77">
        <f t="shared" si="15"/>
        <v>-0.12059800083105997</v>
      </c>
      <c r="X19" s="66">
        <f t="shared" si="16"/>
        <v>0</v>
      </c>
      <c r="Y19" s="77">
        <f t="shared" si="17"/>
        <v>0</v>
      </c>
      <c r="Z19" s="77">
        <f>VLOOKUP(H19,Tabla2[[#All],[IDPV]:[PP VOZ]],122,0)</f>
        <v>0.82612175073079763</v>
      </c>
      <c r="AA19" s="77">
        <f t="shared" si="18"/>
        <v>-0.82612175073079763</v>
      </c>
      <c r="AB19" s="28">
        <f t="shared" si="19"/>
        <v>0</v>
      </c>
      <c r="AC19" s="28">
        <f t="shared" si="20"/>
        <v>2.0482154192029212</v>
      </c>
      <c r="AD19" s="28">
        <f t="shared" si="21"/>
        <v>-2.0482154192029212</v>
      </c>
      <c r="AE19" s="28">
        <f t="shared" si="22"/>
        <v>0</v>
      </c>
      <c r="AF19" s="28">
        <f t="shared" si="23"/>
        <v>1.1014956676410637</v>
      </c>
      <c r="AG19" s="28">
        <f t="shared" si="24"/>
        <v>-1.1014956676410637</v>
      </c>
      <c r="AH19" s="28">
        <f t="shared" si="25"/>
        <v>0</v>
      </c>
      <c r="AI19" s="28">
        <f t="shared" si="26"/>
        <v>0.12059800083105997</v>
      </c>
      <c r="AJ19" s="28">
        <f t="shared" si="27"/>
        <v>-0.12059800083105997</v>
      </c>
      <c r="AK19" s="28" t="e">
        <f>+Y19/#REF!</f>
        <v>#REF!</v>
      </c>
      <c r="AL19" s="28" t="e">
        <f>+Z19/#REF!</f>
        <v>#REF!</v>
      </c>
      <c r="AM19" s="28" t="e">
        <f>+AK19-AL19</f>
        <v>#REF!</v>
      </c>
      <c r="AN19" s="64">
        <f>+COUNTIFS(FieldWy!A:A,H19,FieldWy!F:F,"&lt;&gt;")</f>
        <v>0</v>
      </c>
      <c r="AO19" s="86">
        <f t="shared" si="28"/>
        <v>0</v>
      </c>
      <c r="AP19" s="64">
        <f>+COUNTIFS(FieldWy!A:A,H19,FieldWy!F:F,"&lt;&gt;",FieldWy!AA:AA,"true")</f>
        <v>0</v>
      </c>
      <c r="AQ19" s="86">
        <f t="shared" si="29"/>
        <v>0</v>
      </c>
      <c r="AR19" s="64">
        <f>+COUNTIFS(FieldWy!A:A,H19,FieldWy!F:F,"&lt;&gt;",FieldWy!X:X,"PORTABILIDAD")</f>
        <v>0</v>
      </c>
      <c r="AS19" s="64">
        <f t="shared" si="30"/>
        <v>0</v>
      </c>
      <c r="AT19" s="64">
        <f t="shared" si="32"/>
        <v>0</v>
      </c>
      <c r="AU19" s="86">
        <f t="shared" si="31"/>
        <v>0</v>
      </c>
    </row>
    <row r="20" spans="1:47" hidden="1" x14ac:dyDescent="0.2">
      <c r="A20" t="s">
        <v>456</v>
      </c>
      <c r="B20" t="s">
        <v>453</v>
      </c>
      <c r="C20" s="43">
        <v>1</v>
      </c>
      <c r="H20">
        <v>2090875</v>
      </c>
      <c r="I20" t="s">
        <v>396</v>
      </c>
      <c r="J20" t="s">
        <v>463</v>
      </c>
      <c r="K20" s="43" t="s">
        <v>280</v>
      </c>
      <c r="L20" s="66">
        <f t="shared" si="10"/>
        <v>0</v>
      </c>
      <c r="M20" s="77">
        <f>SUM(Altas!E17:AI17)</f>
        <v>0</v>
      </c>
      <c r="N20" s="77">
        <f>VLOOKUP(H20,Cuota!$D:$DU,119,0)</f>
        <v>3.442173961378324</v>
      </c>
      <c r="O20" s="77">
        <f t="shared" si="11"/>
        <v>-3.442173961378324</v>
      </c>
      <c r="P20" s="66">
        <f t="shared" si="12"/>
        <v>0</v>
      </c>
      <c r="Q20" s="77">
        <f>+SUM(Altas!E64:AI64)</f>
        <v>0</v>
      </c>
      <c r="R20" s="77">
        <f>VLOOKUP(H20,Tabla2[[#All],[IDPV]:[PP VOZ]],120,0)</f>
        <v>2.2029913352821273</v>
      </c>
      <c r="S20" s="77">
        <f t="shared" si="13"/>
        <v>-2.2029913352821273</v>
      </c>
      <c r="T20" s="66">
        <f t="shared" si="14"/>
        <v>0</v>
      </c>
      <c r="U20" s="78">
        <f>+SUM(Altas!E111:AI111)</f>
        <v>496</v>
      </c>
      <c r="V20" s="77">
        <f>VLOOKUP(H20,Tabla2[[#All],[IDPV]:[PP VOZ]],121,0)</f>
        <v>0</v>
      </c>
      <c r="W20" s="77">
        <f t="shared" si="15"/>
        <v>496</v>
      </c>
      <c r="X20" s="66">
        <f t="shared" si="16"/>
        <v>-400.26384291922437</v>
      </c>
      <c r="Y20" s="77">
        <f t="shared" si="17"/>
        <v>-496</v>
      </c>
      <c r="Z20" s="77">
        <f>VLOOKUP(H20,Tabla2[[#All],[IDPV]:[PP VOZ]],122,0)</f>
        <v>1.2391826260961967</v>
      </c>
      <c r="AA20" s="77">
        <f t="shared" si="18"/>
        <v>-497.23918262609618</v>
      </c>
      <c r="AB20" s="28">
        <f t="shared" si="19"/>
        <v>0</v>
      </c>
      <c r="AC20" s="28">
        <f t="shared" si="20"/>
        <v>3.442173961378324</v>
      </c>
      <c r="AD20" s="28">
        <f t="shared" si="21"/>
        <v>-3.442173961378324</v>
      </c>
      <c r="AE20" s="28">
        <f t="shared" si="22"/>
        <v>0</v>
      </c>
      <c r="AF20" s="28">
        <f t="shared" si="23"/>
        <v>2.2029913352821273</v>
      </c>
      <c r="AG20" s="28">
        <f t="shared" si="24"/>
        <v>-2.2029913352821273</v>
      </c>
      <c r="AH20" s="28">
        <f t="shared" si="25"/>
        <v>496</v>
      </c>
      <c r="AI20" s="28">
        <f t="shared" si="26"/>
        <v>0</v>
      </c>
      <c r="AJ20" s="28">
        <f t="shared" si="27"/>
        <v>496</v>
      </c>
      <c r="AN20" s="64">
        <f>+COUNTIFS(FieldWy!A:A,H20,FieldWy!F:F,"&lt;&gt;")</f>
        <v>0</v>
      </c>
      <c r="AO20" s="86">
        <f t="shared" si="28"/>
        <v>0</v>
      </c>
      <c r="AP20" s="64">
        <f>+COUNTIFS(FieldWy!A:A,H20,FieldWy!F:F,"&lt;&gt;",FieldWy!AA:AA,"true")</f>
        <v>0</v>
      </c>
      <c r="AQ20" s="86">
        <f t="shared" si="29"/>
        <v>0</v>
      </c>
      <c r="AR20" s="64">
        <f>+COUNTIFS(FieldWy!A:A,H20,FieldWy!F:F,"&lt;&gt;",FieldWy!X:X,"PORTABILIDAD")</f>
        <v>0</v>
      </c>
      <c r="AS20" s="64">
        <f t="shared" si="30"/>
        <v>496</v>
      </c>
      <c r="AT20" s="64">
        <f t="shared" si="32"/>
        <v>0</v>
      </c>
      <c r="AU20" s="86">
        <f t="shared" si="31"/>
        <v>-496</v>
      </c>
    </row>
    <row r="21" spans="1:47" hidden="1" x14ac:dyDescent="0.2">
      <c r="A21" t="s">
        <v>455</v>
      </c>
      <c r="B21" t="s">
        <v>451</v>
      </c>
      <c r="C21" s="43">
        <v>1</v>
      </c>
      <c r="H21">
        <v>2090892</v>
      </c>
      <c r="I21" t="s">
        <v>397</v>
      </c>
      <c r="J21" t="s">
        <v>460</v>
      </c>
      <c r="K21" s="43" t="s">
        <v>280</v>
      </c>
      <c r="L21" s="66">
        <f t="shared" si="10"/>
        <v>0</v>
      </c>
      <c r="M21" s="77">
        <f>SUM(Altas!E18:AI18)</f>
        <v>0</v>
      </c>
      <c r="N21" s="77">
        <f>VLOOKUP(H21,Cuota!$D:$DU,119,0)</f>
        <v>1.9105284607477884</v>
      </c>
      <c r="O21" s="77">
        <f t="shared" si="11"/>
        <v>-1.9105284607477884</v>
      </c>
      <c r="P21" s="66">
        <f t="shared" si="12"/>
        <v>0</v>
      </c>
      <c r="Q21" s="77">
        <f>+SUM(Altas!E65:AI65)</f>
        <v>0</v>
      </c>
      <c r="R21" s="77">
        <f>VLOOKUP(H21,Tabla2[[#All],[IDPV]:[PP VOZ]],120,0)</f>
        <v>1.1014956676410637</v>
      </c>
      <c r="S21" s="77">
        <f t="shared" si="13"/>
        <v>-1.1014956676410637</v>
      </c>
      <c r="T21" s="66">
        <f t="shared" si="14"/>
        <v>0</v>
      </c>
      <c r="U21" s="78">
        <f>+SUM(Altas!E112:AI112)</f>
        <v>0</v>
      </c>
      <c r="V21" s="77">
        <f>VLOOKUP(H21,Tabla2[[#All],[IDPV]:[PP VOZ]],121,0)</f>
        <v>0.12059800083105997</v>
      </c>
      <c r="W21" s="77">
        <f t="shared" si="15"/>
        <v>-0.12059800083105997</v>
      </c>
      <c r="X21" s="66">
        <f t="shared" si="16"/>
        <v>0</v>
      </c>
      <c r="Y21" s="77">
        <f t="shared" si="17"/>
        <v>0</v>
      </c>
      <c r="Z21" s="77">
        <f>VLOOKUP(H21,Tabla2[[#All],[IDPV]:[PP VOZ]],122,0)</f>
        <v>0.68843479227566484</v>
      </c>
      <c r="AA21" s="77">
        <f t="shared" si="18"/>
        <v>-0.68843479227566484</v>
      </c>
      <c r="AB21" s="28">
        <f t="shared" si="19"/>
        <v>0</v>
      </c>
      <c r="AC21" s="28">
        <f t="shared" si="20"/>
        <v>1.9105284607477884</v>
      </c>
      <c r="AD21" s="28">
        <f t="shared" si="21"/>
        <v>-1.9105284607477884</v>
      </c>
      <c r="AE21" s="28">
        <f t="shared" si="22"/>
        <v>0</v>
      </c>
      <c r="AF21" s="28">
        <f t="shared" si="23"/>
        <v>1.1014956676410637</v>
      </c>
      <c r="AG21" s="28">
        <f t="shared" si="24"/>
        <v>-1.1014956676410637</v>
      </c>
      <c r="AH21" s="28">
        <f t="shared" si="25"/>
        <v>0</v>
      </c>
      <c r="AI21" s="28">
        <f t="shared" si="26"/>
        <v>0.12059800083105997</v>
      </c>
      <c r="AJ21" s="28">
        <f t="shared" si="27"/>
        <v>-0.12059800083105997</v>
      </c>
      <c r="AN21" s="64">
        <f>+COUNTIFS(FieldWy!A:A,H21,FieldWy!F:F,"&lt;&gt;")</f>
        <v>0</v>
      </c>
      <c r="AO21" s="86">
        <f t="shared" si="28"/>
        <v>0</v>
      </c>
      <c r="AP21" s="64">
        <f>+COUNTIFS(FieldWy!A:A,H21,FieldWy!F:F,"&lt;&gt;",FieldWy!AA:AA,"true")</f>
        <v>0</v>
      </c>
      <c r="AQ21" s="86">
        <f t="shared" si="29"/>
        <v>0</v>
      </c>
      <c r="AR21" s="64">
        <f>+COUNTIFS(FieldWy!A:A,H21,FieldWy!F:F,"&lt;&gt;",FieldWy!X:X,"PORTABILIDAD")</f>
        <v>0</v>
      </c>
      <c r="AS21" s="64">
        <f t="shared" si="30"/>
        <v>0</v>
      </c>
      <c r="AT21" s="64">
        <f t="shared" si="32"/>
        <v>0</v>
      </c>
      <c r="AU21" s="86">
        <f t="shared" si="31"/>
        <v>0</v>
      </c>
    </row>
    <row r="22" spans="1:47" hidden="1" x14ac:dyDescent="0.2">
      <c r="A22" t="s">
        <v>455</v>
      </c>
      <c r="B22" t="s">
        <v>451</v>
      </c>
      <c r="C22" s="43">
        <v>1</v>
      </c>
      <c r="H22">
        <v>2090893</v>
      </c>
      <c r="I22" t="s">
        <v>398</v>
      </c>
      <c r="J22" t="s">
        <v>460</v>
      </c>
      <c r="K22" s="43" t="s">
        <v>280</v>
      </c>
      <c r="L22" s="66">
        <f t="shared" si="10"/>
        <v>0</v>
      </c>
      <c r="M22" s="77">
        <f>SUM(Altas!E19:AI19)</f>
        <v>0</v>
      </c>
      <c r="N22" s="77">
        <f>VLOOKUP(H22,Cuota!$D:$DU,119,0)</f>
        <v>1.9105284607477884</v>
      </c>
      <c r="O22" s="77">
        <f t="shared" si="11"/>
        <v>-1.9105284607477884</v>
      </c>
      <c r="P22" s="66">
        <f t="shared" si="12"/>
        <v>0</v>
      </c>
      <c r="Q22" s="77">
        <f>+SUM(Altas!E66:AI66)</f>
        <v>0</v>
      </c>
      <c r="R22" s="77">
        <f>VLOOKUP(H22,Tabla2[[#All],[IDPV]:[PP VOZ]],120,0)</f>
        <v>1.1014956676410637</v>
      </c>
      <c r="S22" s="77">
        <f t="shared" si="13"/>
        <v>-1.1014956676410637</v>
      </c>
      <c r="T22" s="66">
        <f t="shared" si="14"/>
        <v>0</v>
      </c>
      <c r="U22" s="78">
        <f>+SUM(Altas!E113:AI113)</f>
        <v>0</v>
      </c>
      <c r="V22" s="77">
        <f>VLOOKUP(H22,Tabla2[[#All],[IDPV]:[PP VOZ]],121,0)</f>
        <v>0.12059800083105997</v>
      </c>
      <c r="W22" s="77">
        <f t="shared" si="15"/>
        <v>-0.12059800083105997</v>
      </c>
      <c r="X22" s="66">
        <f t="shared" si="16"/>
        <v>0</v>
      </c>
      <c r="Y22" s="77">
        <f t="shared" si="17"/>
        <v>0</v>
      </c>
      <c r="Z22" s="77">
        <f>VLOOKUP(H22,Tabla2[[#All],[IDPV]:[PP VOZ]],122,0)</f>
        <v>0.68843479227566484</v>
      </c>
      <c r="AA22" s="77">
        <f t="shared" si="18"/>
        <v>-0.68843479227566484</v>
      </c>
      <c r="AB22" s="28">
        <f t="shared" si="19"/>
        <v>0</v>
      </c>
      <c r="AC22" s="28">
        <f t="shared" si="20"/>
        <v>1.9105284607477884</v>
      </c>
      <c r="AD22" s="28">
        <f t="shared" si="21"/>
        <v>-1.9105284607477884</v>
      </c>
      <c r="AE22" s="28">
        <f t="shared" si="22"/>
        <v>0</v>
      </c>
      <c r="AF22" s="28">
        <f t="shared" si="23"/>
        <v>1.1014956676410637</v>
      </c>
      <c r="AG22" s="28">
        <f t="shared" si="24"/>
        <v>-1.1014956676410637</v>
      </c>
      <c r="AH22" s="28">
        <f t="shared" si="25"/>
        <v>0</v>
      </c>
      <c r="AI22" s="28">
        <f t="shared" si="26"/>
        <v>0.12059800083105997</v>
      </c>
      <c r="AJ22" s="28">
        <f t="shared" si="27"/>
        <v>-0.12059800083105997</v>
      </c>
      <c r="AN22" s="64">
        <f>+COUNTIFS(FieldWy!A:A,H22,FieldWy!F:F,"&lt;&gt;")</f>
        <v>0</v>
      </c>
      <c r="AO22" s="86">
        <f t="shared" si="28"/>
        <v>0</v>
      </c>
      <c r="AP22" s="64">
        <f>+COUNTIFS(FieldWy!A:A,H22,FieldWy!F:F,"&lt;&gt;",FieldWy!AA:AA,"true")</f>
        <v>0</v>
      </c>
      <c r="AQ22" s="86">
        <f t="shared" si="29"/>
        <v>0</v>
      </c>
      <c r="AR22" s="64">
        <f>+COUNTIFS(FieldWy!A:A,H22,FieldWy!F:F,"&lt;&gt;",FieldWy!X:X,"PORTABILIDAD")</f>
        <v>0</v>
      </c>
      <c r="AS22" s="64">
        <f t="shared" si="30"/>
        <v>0</v>
      </c>
      <c r="AT22" s="64">
        <f t="shared" si="32"/>
        <v>0</v>
      </c>
      <c r="AU22" s="86">
        <f t="shared" si="31"/>
        <v>0</v>
      </c>
    </row>
    <row r="23" spans="1:47" x14ac:dyDescent="0.2">
      <c r="A23" s="43" t="s">
        <v>99</v>
      </c>
      <c r="B23" s="43" t="s">
        <v>127</v>
      </c>
      <c r="C23" s="43">
        <v>1</v>
      </c>
      <c r="D23" s="43" t="s">
        <v>387</v>
      </c>
      <c r="E23" s="43" t="s">
        <v>348</v>
      </c>
      <c r="F23" s="43"/>
      <c r="G23" s="43" t="s">
        <v>343</v>
      </c>
      <c r="H23" s="43">
        <v>2090912</v>
      </c>
      <c r="I23" s="43" t="s">
        <v>25</v>
      </c>
      <c r="J23" s="43" t="s">
        <v>21</v>
      </c>
      <c r="K23" s="43" t="s">
        <v>5</v>
      </c>
      <c r="L23" s="66">
        <f t="shared" si="10"/>
        <v>0</v>
      </c>
      <c r="M23" s="77">
        <f>SUM(Altas!E20:AI20)</f>
        <v>0</v>
      </c>
      <c r="N23" s="77">
        <f>VLOOKUP(H23,Cuota!$D:$DU,119,0)</f>
        <v>3.2703090876750451</v>
      </c>
      <c r="O23" s="77">
        <f t="shared" si="11"/>
        <v>-3.2703090876750451</v>
      </c>
      <c r="P23" s="66">
        <f t="shared" si="12"/>
        <v>0</v>
      </c>
      <c r="Q23" s="77">
        <f>+SUM(Altas!E67:AI67)</f>
        <v>0</v>
      </c>
      <c r="R23" s="77">
        <f>VLOOKUP(H23,Tabla2[[#All],[IDPV]:[PP VOZ]],120,0)</f>
        <v>1.3768695845513297</v>
      </c>
      <c r="S23" s="77">
        <f t="shared" si="13"/>
        <v>-1.3768695845513297</v>
      </c>
      <c r="T23" s="66">
        <f t="shared" si="14"/>
        <v>0</v>
      </c>
      <c r="U23" s="78">
        <f>+SUM(Altas!E114:AI114)</f>
        <v>0</v>
      </c>
      <c r="V23" s="77">
        <f>VLOOKUP(H23,Tabla2[[#All],[IDPV]:[PP VOZ]],121,0)</f>
        <v>0.24119600166211994</v>
      </c>
      <c r="W23" s="77">
        <f t="shared" si="15"/>
        <v>-0.24119600166211994</v>
      </c>
      <c r="X23" s="66">
        <f t="shared" si="16"/>
        <v>0</v>
      </c>
      <c r="Y23" s="77">
        <f t="shared" si="17"/>
        <v>0</v>
      </c>
      <c r="Z23" s="77">
        <f>VLOOKUP(H23,Tabla2[[#All],[IDPV]:[PP VOZ]],122,0)</f>
        <v>1.6522435014615955</v>
      </c>
      <c r="AA23" s="77">
        <f t="shared" si="18"/>
        <v>-1.6522435014615955</v>
      </c>
      <c r="AB23" s="28">
        <f t="shared" si="19"/>
        <v>0</v>
      </c>
      <c r="AC23" s="28">
        <f t="shared" si="20"/>
        <v>3.2703090876750451</v>
      </c>
      <c r="AD23" s="28">
        <f t="shared" si="21"/>
        <v>-3.2703090876750451</v>
      </c>
      <c r="AE23" s="28">
        <f t="shared" si="22"/>
        <v>0</v>
      </c>
      <c r="AF23" s="28">
        <f t="shared" si="23"/>
        <v>1.3768695845513297</v>
      </c>
      <c r="AG23" s="28">
        <f t="shared" si="24"/>
        <v>-1.3768695845513297</v>
      </c>
      <c r="AH23" s="28">
        <f t="shared" si="25"/>
        <v>0</v>
      </c>
      <c r="AI23" s="28">
        <f t="shared" si="26"/>
        <v>0.24119600166211994</v>
      </c>
      <c r="AJ23" s="28">
        <f t="shared" si="27"/>
        <v>-0.24119600166211994</v>
      </c>
      <c r="AK23" s="28" t="e">
        <f>+Y23/#REF!</f>
        <v>#REF!</v>
      </c>
      <c r="AL23" s="28" t="e">
        <f>+Z23/#REF!</f>
        <v>#REF!</v>
      </c>
      <c r="AM23" s="28" t="e">
        <f t="shared" ref="AM23:AM29" si="33">+AK23-AL23</f>
        <v>#REF!</v>
      </c>
      <c r="AN23" s="64">
        <f>+COUNTIFS(FieldWy!A:A,H23,FieldWy!F:F,"&lt;&gt;")</f>
        <v>0</v>
      </c>
      <c r="AO23" s="86">
        <f t="shared" si="28"/>
        <v>0</v>
      </c>
      <c r="AP23" s="64">
        <f>+COUNTIFS(FieldWy!A:A,H23,FieldWy!F:F,"&lt;&gt;",FieldWy!AA:AA,"true")</f>
        <v>0</v>
      </c>
      <c r="AQ23" s="86">
        <f t="shared" si="29"/>
        <v>0</v>
      </c>
      <c r="AR23" s="64">
        <f>+COUNTIFS(FieldWy!A:A,H23,FieldWy!F:F,"&lt;&gt;",FieldWy!X:X,"PORTABILIDAD")</f>
        <v>0</v>
      </c>
      <c r="AS23" s="64">
        <f t="shared" si="30"/>
        <v>0</v>
      </c>
      <c r="AT23" s="64">
        <f t="shared" si="32"/>
        <v>0</v>
      </c>
      <c r="AU23" s="86">
        <f t="shared" si="31"/>
        <v>0</v>
      </c>
    </row>
    <row r="24" spans="1:47" x14ac:dyDescent="0.2">
      <c r="A24" s="43" t="s">
        <v>99</v>
      </c>
      <c r="B24" s="43" t="s">
        <v>125</v>
      </c>
      <c r="C24" s="43">
        <v>1</v>
      </c>
      <c r="D24" s="43" t="s">
        <v>543</v>
      </c>
      <c r="E24" s="43" t="s">
        <v>346</v>
      </c>
      <c r="F24" s="43"/>
      <c r="G24" s="43" t="s">
        <v>343</v>
      </c>
      <c r="H24" s="43">
        <v>2090913</v>
      </c>
      <c r="I24" s="43" t="s">
        <v>26</v>
      </c>
      <c r="J24" s="43" t="s">
        <v>23</v>
      </c>
      <c r="K24" s="43" t="s">
        <v>5</v>
      </c>
      <c r="L24" s="66">
        <f t="shared" si="10"/>
        <v>0</v>
      </c>
      <c r="M24" s="77">
        <f>SUM(Altas!E21:AI21)</f>
        <v>0</v>
      </c>
      <c r="N24" s="77">
        <f>VLOOKUP(H24,Cuota!$D:$DU,119,0)</f>
        <v>3.2703090876750447</v>
      </c>
      <c r="O24" s="77">
        <f t="shared" si="11"/>
        <v>-3.2703090876750447</v>
      </c>
      <c r="P24" s="66">
        <f t="shared" si="12"/>
        <v>0</v>
      </c>
      <c r="Q24" s="77">
        <f>+SUM(Altas!E68:AI68)</f>
        <v>0</v>
      </c>
      <c r="R24" s="77">
        <f>VLOOKUP(H24,Tabla2[[#All],[IDPV]:[PP VOZ]],120,0)</f>
        <v>2.0482154192029212</v>
      </c>
      <c r="S24" s="77">
        <f t="shared" si="13"/>
        <v>-2.0482154192029212</v>
      </c>
      <c r="T24" s="66">
        <f t="shared" si="14"/>
        <v>0</v>
      </c>
      <c r="U24" s="78">
        <f>+SUM(Altas!E115:AI115)</f>
        <v>0</v>
      </c>
      <c r="V24" s="77">
        <f>VLOOKUP(H24,Tabla2[[#All],[IDPV]:[PP VOZ]],121,0)</f>
        <v>0.24119600166211994</v>
      </c>
      <c r="W24" s="77">
        <f t="shared" si="15"/>
        <v>-0.24119600166211994</v>
      </c>
      <c r="X24" s="66">
        <f t="shared" si="16"/>
        <v>0</v>
      </c>
      <c r="Y24" s="77">
        <f t="shared" si="17"/>
        <v>0</v>
      </c>
      <c r="Z24" s="77">
        <f>VLOOKUP(H24,Tabla2[[#All],[IDPV]:[PP VOZ]],122,0)</f>
        <v>0.98089766681000379</v>
      </c>
      <c r="AA24" s="77">
        <f t="shared" si="18"/>
        <v>-0.98089766681000379</v>
      </c>
      <c r="AB24" s="28">
        <f t="shared" si="19"/>
        <v>0</v>
      </c>
      <c r="AC24" s="28">
        <f t="shared" si="20"/>
        <v>3.2703090876750447</v>
      </c>
      <c r="AD24" s="28">
        <f t="shared" si="21"/>
        <v>-3.2703090876750447</v>
      </c>
      <c r="AE24" s="28">
        <f t="shared" si="22"/>
        <v>0</v>
      </c>
      <c r="AF24" s="28">
        <f t="shared" si="23"/>
        <v>2.0482154192029212</v>
      </c>
      <c r="AG24" s="28">
        <f t="shared" si="24"/>
        <v>-2.0482154192029212</v>
      </c>
      <c r="AH24" s="28">
        <f t="shared" si="25"/>
        <v>0</v>
      </c>
      <c r="AI24" s="28">
        <f t="shared" si="26"/>
        <v>0.24119600166211994</v>
      </c>
      <c r="AJ24" s="28">
        <f t="shared" si="27"/>
        <v>-0.24119600166211994</v>
      </c>
      <c r="AK24" s="28" t="e">
        <f>+Y24/#REF!</f>
        <v>#REF!</v>
      </c>
      <c r="AL24" s="28" t="e">
        <f>+Z24/#REF!</f>
        <v>#REF!</v>
      </c>
      <c r="AM24" s="28" t="e">
        <f t="shared" si="33"/>
        <v>#REF!</v>
      </c>
      <c r="AN24" s="64">
        <f>+COUNTIFS(FieldWy!A:A,H24,FieldWy!F:F,"&lt;&gt;")</f>
        <v>0</v>
      </c>
      <c r="AO24" s="86">
        <f t="shared" si="28"/>
        <v>0</v>
      </c>
      <c r="AP24" s="64">
        <f>+COUNTIFS(FieldWy!A:A,H24,FieldWy!F:F,"&lt;&gt;",FieldWy!AA:AA,"true")</f>
        <v>0</v>
      </c>
      <c r="AQ24" s="86">
        <f t="shared" si="29"/>
        <v>0</v>
      </c>
      <c r="AR24" s="64">
        <f>+COUNTIFS(FieldWy!A:A,H24,FieldWy!F:F,"&lt;&gt;",FieldWy!X:X,"PORTABILIDAD")</f>
        <v>0</v>
      </c>
      <c r="AS24" s="64">
        <f t="shared" si="30"/>
        <v>0</v>
      </c>
      <c r="AT24" s="64">
        <f t="shared" si="32"/>
        <v>0</v>
      </c>
      <c r="AU24" s="86">
        <f t="shared" si="31"/>
        <v>0</v>
      </c>
    </row>
    <row r="25" spans="1:47" x14ac:dyDescent="0.2">
      <c r="A25" s="43" t="s">
        <v>99</v>
      </c>
      <c r="B25" s="43" t="s">
        <v>125</v>
      </c>
      <c r="C25" s="43">
        <v>1</v>
      </c>
      <c r="D25" s="43" t="s">
        <v>382</v>
      </c>
      <c r="E25" s="43"/>
      <c r="F25" s="43"/>
      <c r="G25" s="43" t="s">
        <v>324</v>
      </c>
      <c r="H25" s="43">
        <v>2090932</v>
      </c>
      <c r="I25" s="43" t="s">
        <v>27</v>
      </c>
      <c r="J25" s="43" t="s">
        <v>28</v>
      </c>
      <c r="K25" s="43" t="s">
        <v>7</v>
      </c>
      <c r="L25" s="66">
        <f t="shared" si="10"/>
        <v>0</v>
      </c>
      <c r="M25" s="77">
        <f>SUM(Altas!E22:AI22)</f>
        <v>0</v>
      </c>
      <c r="N25" s="77">
        <f>VLOOKUP(H25,Cuota!$D:$DU,119,0)</f>
        <v>0.94671975156185773</v>
      </c>
      <c r="O25" s="77">
        <f t="shared" si="11"/>
        <v>-0.94671975156185773</v>
      </c>
      <c r="P25" s="66">
        <f t="shared" si="12"/>
        <v>0</v>
      </c>
      <c r="Q25" s="77">
        <f>+SUM(Altas!E69:AI69)</f>
        <v>0</v>
      </c>
      <c r="R25" s="77">
        <f>VLOOKUP(H25,Tabla2[[#All],[IDPV]:[PP VOZ]],120,0)</f>
        <v>0.41306087536539887</v>
      </c>
      <c r="S25" s="77">
        <f t="shared" si="13"/>
        <v>-0.41306087536539887</v>
      </c>
      <c r="T25" s="66">
        <f t="shared" si="14"/>
        <v>0</v>
      </c>
      <c r="U25" s="78">
        <f>+SUM(Altas!E116:AI116)</f>
        <v>0</v>
      </c>
      <c r="V25" s="77">
        <f>VLOOKUP(H25,Tabla2[[#All],[IDPV]:[PP VOZ]],121,0)</f>
        <v>0.12059800083105997</v>
      </c>
      <c r="W25" s="77">
        <f t="shared" si="15"/>
        <v>-0.12059800083105997</v>
      </c>
      <c r="X25" s="66">
        <f t="shared" si="16"/>
        <v>0</v>
      </c>
      <c r="Y25" s="77">
        <f t="shared" si="17"/>
        <v>0</v>
      </c>
      <c r="Z25" s="77">
        <f>VLOOKUP(H25,Tabla2[[#All],[IDPV]:[PP VOZ]],122,0)</f>
        <v>0.41306087536539893</v>
      </c>
      <c r="AA25" s="77">
        <f t="shared" si="18"/>
        <v>-0.41306087536539893</v>
      </c>
      <c r="AB25" s="28">
        <f t="shared" si="19"/>
        <v>0</v>
      </c>
      <c r="AC25" s="28">
        <f t="shared" si="20"/>
        <v>0.94671975156185773</v>
      </c>
      <c r="AD25" s="28">
        <f t="shared" si="21"/>
        <v>-0.94671975156185773</v>
      </c>
      <c r="AE25" s="28">
        <f t="shared" si="22"/>
        <v>0</v>
      </c>
      <c r="AF25" s="28">
        <f t="shared" si="23"/>
        <v>0.41306087536539887</v>
      </c>
      <c r="AG25" s="28">
        <f t="shared" si="24"/>
        <v>-0.41306087536539887</v>
      </c>
      <c r="AH25" s="28">
        <f t="shared" si="25"/>
        <v>0</v>
      </c>
      <c r="AI25" s="28">
        <f t="shared" si="26"/>
        <v>0.12059800083105997</v>
      </c>
      <c r="AJ25" s="28">
        <f t="shared" si="27"/>
        <v>-0.12059800083105997</v>
      </c>
      <c r="AK25" s="28" t="e">
        <f>+Y25/#REF!</f>
        <v>#REF!</v>
      </c>
      <c r="AL25" s="28" t="e">
        <f>+Z25/#REF!</f>
        <v>#REF!</v>
      </c>
      <c r="AM25" s="28" t="e">
        <f t="shared" si="33"/>
        <v>#REF!</v>
      </c>
      <c r="AN25" s="64">
        <f>+COUNTIFS(FieldWy!A:A,H25,FieldWy!F:F,"&lt;&gt;")</f>
        <v>0</v>
      </c>
      <c r="AO25" s="86">
        <f t="shared" si="28"/>
        <v>0</v>
      </c>
      <c r="AP25" s="64">
        <f>+COUNTIFS(FieldWy!A:A,H25,FieldWy!F:F,"&lt;&gt;",FieldWy!AA:AA,"true")</f>
        <v>0</v>
      </c>
      <c r="AQ25" s="86">
        <f t="shared" si="29"/>
        <v>0</v>
      </c>
      <c r="AR25" s="64">
        <f>+COUNTIFS(FieldWy!A:A,H25,FieldWy!F:F,"&lt;&gt;",FieldWy!X:X,"PORTABILIDAD")</f>
        <v>0</v>
      </c>
      <c r="AS25" s="64">
        <f t="shared" si="30"/>
        <v>0</v>
      </c>
      <c r="AT25" s="64">
        <f t="shared" si="32"/>
        <v>0</v>
      </c>
      <c r="AU25" s="86">
        <f t="shared" si="31"/>
        <v>0</v>
      </c>
    </row>
    <row r="26" spans="1:47" x14ac:dyDescent="0.2">
      <c r="A26" s="43" t="s">
        <v>99</v>
      </c>
      <c r="B26" s="43" t="s">
        <v>127</v>
      </c>
      <c r="C26" s="43">
        <v>1</v>
      </c>
      <c r="D26" s="43" t="s">
        <v>543</v>
      </c>
      <c r="E26" s="43" t="s">
        <v>347</v>
      </c>
      <c r="F26" s="43"/>
      <c r="G26" s="43" t="s">
        <v>324</v>
      </c>
      <c r="H26" s="43">
        <v>2090937</v>
      </c>
      <c r="I26" s="43" t="s">
        <v>29</v>
      </c>
      <c r="J26" s="43" t="s">
        <v>21</v>
      </c>
      <c r="K26" s="43" t="s">
        <v>5</v>
      </c>
      <c r="L26" s="66">
        <f t="shared" si="10"/>
        <v>0</v>
      </c>
      <c r="M26" s="77">
        <f>SUM(Altas!E23:AI23)</f>
        <v>0</v>
      </c>
      <c r="N26" s="77">
        <f>VLOOKUP(H26,Cuota!$D:$DU,119,0)</f>
        <v>2.9949351707647791</v>
      </c>
      <c r="O26" s="77">
        <f t="shared" si="11"/>
        <v>-2.9949351707647791</v>
      </c>
      <c r="P26" s="66">
        <f t="shared" si="12"/>
        <v>0</v>
      </c>
      <c r="Q26" s="77">
        <f>+SUM(Altas!E70:AI70)</f>
        <v>0</v>
      </c>
      <c r="R26" s="77">
        <f>VLOOKUP(H26,Tabla2[[#All],[IDPV]:[PP VOZ]],120,0)</f>
        <v>1.6522435014615955</v>
      </c>
      <c r="S26" s="77">
        <f t="shared" si="13"/>
        <v>-1.6522435014615955</v>
      </c>
      <c r="T26" s="66">
        <f t="shared" si="14"/>
        <v>0</v>
      </c>
      <c r="U26" s="78">
        <f>+SUM(Altas!E117:AI117)</f>
        <v>0</v>
      </c>
      <c r="V26" s="77">
        <f>VLOOKUP(H26,Tabla2[[#All],[IDPV]:[PP VOZ]],121,0)</f>
        <v>0.24119600166211994</v>
      </c>
      <c r="W26" s="77">
        <f t="shared" si="15"/>
        <v>-0.24119600166211994</v>
      </c>
      <c r="X26" s="66">
        <f t="shared" si="16"/>
        <v>0</v>
      </c>
      <c r="Y26" s="77">
        <f t="shared" si="17"/>
        <v>0</v>
      </c>
      <c r="Z26" s="77">
        <f>VLOOKUP(H26,Tabla2[[#All],[IDPV]:[PP VOZ]],122,0)</f>
        <v>1.1014956676410637</v>
      </c>
      <c r="AA26" s="77">
        <f t="shared" si="18"/>
        <v>-1.1014956676410637</v>
      </c>
      <c r="AB26" s="28">
        <f t="shared" si="19"/>
        <v>0</v>
      </c>
      <c r="AC26" s="28">
        <f t="shared" si="20"/>
        <v>2.9949351707647791</v>
      </c>
      <c r="AD26" s="28">
        <f t="shared" si="21"/>
        <v>-2.9949351707647791</v>
      </c>
      <c r="AE26" s="28">
        <f t="shared" si="22"/>
        <v>0</v>
      </c>
      <c r="AF26" s="28">
        <f t="shared" si="23"/>
        <v>1.6522435014615955</v>
      </c>
      <c r="AG26" s="28">
        <f t="shared" si="24"/>
        <v>-1.6522435014615955</v>
      </c>
      <c r="AH26" s="28">
        <f t="shared" si="25"/>
        <v>0</v>
      </c>
      <c r="AI26" s="28">
        <f t="shared" si="26"/>
        <v>0.24119600166211994</v>
      </c>
      <c r="AJ26" s="28">
        <f t="shared" si="27"/>
        <v>-0.24119600166211994</v>
      </c>
      <c r="AK26" s="28" t="e">
        <f>+Y26/#REF!</f>
        <v>#REF!</v>
      </c>
      <c r="AL26" s="28" t="e">
        <f>+Z26/#REF!</f>
        <v>#REF!</v>
      </c>
      <c r="AM26" s="28" t="e">
        <f t="shared" si="33"/>
        <v>#REF!</v>
      </c>
      <c r="AN26" s="64">
        <f>+COUNTIFS(FieldWy!A:A,H26,FieldWy!F:F,"&lt;&gt;")</f>
        <v>0</v>
      </c>
      <c r="AO26" s="86">
        <f t="shared" si="28"/>
        <v>0</v>
      </c>
      <c r="AP26" s="64">
        <f>+COUNTIFS(FieldWy!A:A,H26,FieldWy!F:F,"&lt;&gt;",FieldWy!AA:AA,"true")</f>
        <v>0</v>
      </c>
      <c r="AQ26" s="86">
        <f t="shared" si="29"/>
        <v>0</v>
      </c>
      <c r="AR26" s="64">
        <f>+COUNTIFS(FieldWy!A:A,H26,FieldWy!F:F,"&lt;&gt;",FieldWy!X:X,"PORTABILIDAD")</f>
        <v>0</v>
      </c>
      <c r="AS26" s="64">
        <f t="shared" si="30"/>
        <v>0</v>
      </c>
      <c r="AT26" s="64">
        <f t="shared" si="32"/>
        <v>0</v>
      </c>
      <c r="AU26" s="86">
        <f t="shared" si="31"/>
        <v>0</v>
      </c>
    </row>
    <row r="27" spans="1:47" x14ac:dyDescent="0.2">
      <c r="A27" s="43" t="s">
        <v>99</v>
      </c>
      <c r="B27" s="43" t="s">
        <v>127</v>
      </c>
      <c r="C27" s="43">
        <v>1</v>
      </c>
      <c r="D27" s="43" t="s">
        <v>544</v>
      </c>
      <c r="E27" s="43"/>
      <c r="F27" s="43"/>
      <c r="G27" s="43" t="s">
        <v>305</v>
      </c>
      <c r="H27" s="43">
        <v>2090947</v>
      </c>
      <c r="I27" s="43" t="s">
        <v>30</v>
      </c>
      <c r="J27" s="43" t="s">
        <v>21</v>
      </c>
      <c r="K27" s="43" t="s">
        <v>5</v>
      </c>
      <c r="L27" s="66">
        <f t="shared" si="10"/>
        <v>0</v>
      </c>
      <c r="M27" s="77">
        <f>SUM(Altas!E24:AI24)</f>
        <v>0</v>
      </c>
      <c r="N27" s="77">
        <f>VLOOKUP(H27,Cuota!$D:$DU,119,0)</f>
        <v>3.666281005416371</v>
      </c>
      <c r="O27" s="77">
        <f t="shared" si="11"/>
        <v>-3.666281005416371</v>
      </c>
      <c r="P27" s="66">
        <f t="shared" si="12"/>
        <v>0</v>
      </c>
      <c r="Q27" s="77">
        <f>+SUM(Altas!E71:AI71)</f>
        <v>0</v>
      </c>
      <c r="R27" s="77">
        <f>VLOOKUP(H27,Tabla2[[#All],[IDPV]:[PP VOZ]],120,0)</f>
        <v>2.0653043768269943</v>
      </c>
      <c r="S27" s="77">
        <f t="shared" si="13"/>
        <v>-2.0653043768269943</v>
      </c>
      <c r="T27" s="66">
        <f t="shared" si="14"/>
        <v>0</v>
      </c>
      <c r="U27" s="78">
        <f>+SUM(Altas!E118:AI118)</f>
        <v>0</v>
      </c>
      <c r="V27" s="77">
        <f>VLOOKUP(H27,Tabla2[[#All],[IDPV]:[PP VOZ]],121,0)</f>
        <v>0.36179400249317989</v>
      </c>
      <c r="W27" s="77">
        <f t="shared" si="15"/>
        <v>-0.36179400249317989</v>
      </c>
      <c r="X27" s="66">
        <f t="shared" si="16"/>
        <v>0</v>
      </c>
      <c r="Y27" s="77">
        <f t="shared" si="17"/>
        <v>0</v>
      </c>
      <c r="Z27" s="77">
        <f>VLOOKUP(H27,Tabla2[[#All],[IDPV]:[PP VOZ]],122,0)</f>
        <v>1.2391826260961967</v>
      </c>
      <c r="AA27" s="77">
        <f t="shared" si="18"/>
        <v>-1.2391826260961967</v>
      </c>
      <c r="AB27" s="28">
        <f t="shared" si="19"/>
        <v>0</v>
      </c>
      <c r="AC27" s="28">
        <f t="shared" si="20"/>
        <v>3.666281005416371</v>
      </c>
      <c r="AD27" s="28">
        <f t="shared" si="21"/>
        <v>-3.666281005416371</v>
      </c>
      <c r="AE27" s="28">
        <f t="shared" si="22"/>
        <v>0</v>
      </c>
      <c r="AF27" s="28">
        <f t="shared" si="23"/>
        <v>2.0653043768269943</v>
      </c>
      <c r="AG27" s="28">
        <f t="shared" si="24"/>
        <v>-2.0653043768269943</v>
      </c>
      <c r="AH27" s="28">
        <f t="shared" si="25"/>
        <v>0</v>
      </c>
      <c r="AI27" s="28">
        <f t="shared" si="26"/>
        <v>0.36179400249317989</v>
      </c>
      <c r="AJ27" s="28">
        <f t="shared" si="27"/>
        <v>-0.36179400249317989</v>
      </c>
      <c r="AK27" s="28" t="e">
        <f>+Y27/#REF!</f>
        <v>#REF!</v>
      </c>
      <c r="AL27" s="28" t="e">
        <f>+Z27/#REF!</f>
        <v>#REF!</v>
      </c>
      <c r="AM27" s="28" t="e">
        <f t="shared" si="33"/>
        <v>#REF!</v>
      </c>
      <c r="AN27" s="64">
        <f>+COUNTIFS(FieldWy!A:A,H27,FieldWy!F:F,"&lt;&gt;")</f>
        <v>0</v>
      </c>
      <c r="AO27" s="86">
        <f t="shared" si="28"/>
        <v>0</v>
      </c>
      <c r="AP27" s="64">
        <f>+COUNTIFS(FieldWy!A:A,H27,FieldWy!F:F,"&lt;&gt;",FieldWy!AA:AA,"true")</f>
        <v>0</v>
      </c>
      <c r="AQ27" s="86">
        <f t="shared" si="29"/>
        <v>0</v>
      </c>
      <c r="AR27" s="64">
        <f>+COUNTIFS(FieldWy!A:A,H27,FieldWy!F:F,"&lt;&gt;",FieldWy!X:X,"PORTABILIDAD")</f>
        <v>0</v>
      </c>
      <c r="AS27" s="64">
        <f t="shared" si="30"/>
        <v>0</v>
      </c>
      <c r="AT27" s="64">
        <f t="shared" si="32"/>
        <v>0</v>
      </c>
      <c r="AU27" s="86">
        <f t="shared" si="31"/>
        <v>0</v>
      </c>
    </row>
    <row r="28" spans="1:47" x14ac:dyDescent="0.2">
      <c r="A28" s="43" t="s">
        <v>123</v>
      </c>
      <c r="B28" s="43" t="s">
        <v>557</v>
      </c>
      <c r="C28" s="43">
        <v>1</v>
      </c>
      <c r="D28" s="43" t="s">
        <v>543</v>
      </c>
      <c r="E28" s="43" t="s">
        <v>347</v>
      </c>
      <c r="F28" s="43"/>
      <c r="G28" s="43" t="s">
        <v>324</v>
      </c>
      <c r="H28" s="43">
        <v>2090997</v>
      </c>
      <c r="I28" s="43" t="s">
        <v>31</v>
      </c>
      <c r="J28" s="43" t="s">
        <v>17</v>
      </c>
      <c r="K28" s="43" t="s">
        <v>5</v>
      </c>
      <c r="L28" s="66">
        <f t="shared" si="10"/>
        <v>0</v>
      </c>
      <c r="M28" s="77">
        <f>SUM(Altas!E25:AI25)</f>
        <v>0</v>
      </c>
      <c r="N28" s="77">
        <f>VLOOKUP(H28,Cuota!$D:$DU,119,0)</f>
        <v>4.2341177968609758</v>
      </c>
      <c r="O28" s="77">
        <f t="shared" si="11"/>
        <v>-4.2341177968609758</v>
      </c>
      <c r="P28" s="66">
        <f t="shared" si="12"/>
        <v>0</v>
      </c>
      <c r="Q28" s="77">
        <f>+SUM(Altas!E72:AI72)</f>
        <v>0</v>
      </c>
      <c r="R28" s="77">
        <f>VLOOKUP(H28,Tabla2[[#All],[IDPV]:[PP VOZ]],120,0)</f>
        <v>2.3235893361131872</v>
      </c>
      <c r="S28" s="77">
        <f t="shared" si="13"/>
        <v>-2.3235893361131872</v>
      </c>
      <c r="T28" s="66">
        <f t="shared" si="14"/>
        <v>0</v>
      </c>
      <c r="U28" s="78">
        <f>+SUM(Altas!E119:AI119)</f>
        <v>0</v>
      </c>
      <c r="V28" s="77">
        <f>VLOOKUP(H28,Tabla2[[#All],[IDPV]:[PP VOZ]],121,0)</f>
        <v>0.24119600166211994</v>
      </c>
      <c r="W28" s="77">
        <f t="shared" si="15"/>
        <v>-0.24119600166211994</v>
      </c>
      <c r="X28" s="66">
        <f t="shared" si="16"/>
        <v>0</v>
      </c>
      <c r="Y28" s="77">
        <f t="shared" si="17"/>
        <v>0</v>
      </c>
      <c r="Z28" s="77">
        <f>VLOOKUP(H28,Tabla2[[#All],[IDPV]:[PP VOZ]],122,0)</f>
        <v>1.6693324590856689</v>
      </c>
      <c r="AA28" s="77">
        <f t="shared" si="18"/>
        <v>-1.6693324590856689</v>
      </c>
      <c r="AB28" s="28">
        <f t="shared" si="19"/>
        <v>0</v>
      </c>
      <c r="AC28" s="28">
        <f t="shared" si="20"/>
        <v>4.2341177968609758</v>
      </c>
      <c r="AD28" s="28">
        <f t="shared" si="21"/>
        <v>-4.2341177968609758</v>
      </c>
      <c r="AE28" s="28">
        <f t="shared" si="22"/>
        <v>0</v>
      </c>
      <c r="AF28" s="28">
        <f t="shared" si="23"/>
        <v>2.3235893361131872</v>
      </c>
      <c r="AG28" s="28">
        <f t="shared" si="24"/>
        <v>-2.3235893361131872</v>
      </c>
      <c r="AH28" s="28">
        <f t="shared" si="25"/>
        <v>0</v>
      </c>
      <c r="AI28" s="28">
        <f t="shared" si="26"/>
        <v>0.24119600166211994</v>
      </c>
      <c r="AJ28" s="28">
        <f t="shared" si="27"/>
        <v>-0.24119600166211994</v>
      </c>
      <c r="AK28" s="28" t="e">
        <f>+Y28/#REF!</f>
        <v>#REF!</v>
      </c>
      <c r="AL28" s="28" t="e">
        <f>+Z28/#REF!</f>
        <v>#REF!</v>
      </c>
      <c r="AM28" s="28" t="e">
        <f t="shared" si="33"/>
        <v>#REF!</v>
      </c>
      <c r="AN28" s="64">
        <f>+COUNTIFS(FieldWy!A:A,H28,FieldWy!F:F,"&lt;&gt;")</f>
        <v>0</v>
      </c>
      <c r="AO28" s="86">
        <f t="shared" si="28"/>
        <v>0</v>
      </c>
      <c r="AP28" s="64">
        <f>+COUNTIFS(FieldWy!A:A,H28,FieldWy!F:F,"&lt;&gt;",FieldWy!AA:AA,"true")</f>
        <v>0</v>
      </c>
      <c r="AQ28" s="86">
        <f t="shared" si="29"/>
        <v>0</v>
      </c>
      <c r="AR28" s="64">
        <f>+COUNTIFS(FieldWy!A:A,H28,FieldWy!F:F,"&lt;&gt;",FieldWy!X:X,"PORTABILIDAD")</f>
        <v>0</v>
      </c>
      <c r="AS28" s="64">
        <f t="shared" si="30"/>
        <v>0</v>
      </c>
      <c r="AT28" s="64">
        <f t="shared" si="32"/>
        <v>0</v>
      </c>
      <c r="AU28" s="86">
        <f t="shared" si="31"/>
        <v>0</v>
      </c>
    </row>
    <row r="29" spans="1:47" x14ac:dyDescent="0.2">
      <c r="A29" s="43" t="s">
        <v>99</v>
      </c>
      <c r="B29" s="43" t="s">
        <v>125</v>
      </c>
      <c r="C29" s="43">
        <v>1</v>
      </c>
      <c r="D29" s="43"/>
      <c r="E29" s="43"/>
      <c r="F29" s="43"/>
      <c r="G29" s="43" t="s">
        <v>305</v>
      </c>
      <c r="H29" s="43">
        <v>2091007</v>
      </c>
      <c r="I29" s="43" t="s">
        <v>32</v>
      </c>
      <c r="J29" s="43" t="s">
        <v>28</v>
      </c>
      <c r="K29" s="43" t="s">
        <v>5</v>
      </c>
      <c r="L29" s="66">
        <f t="shared" si="10"/>
        <v>0</v>
      </c>
      <c r="M29" s="77">
        <f>SUM(Altas!E26:AI26)</f>
        <v>0</v>
      </c>
      <c r="N29" s="77">
        <f>VLOOKUP(H29,Cuota!$D:$DU,119,0)</f>
        <v>2.9949351707647791</v>
      </c>
      <c r="O29" s="77">
        <f t="shared" si="11"/>
        <v>-2.9949351707647791</v>
      </c>
      <c r="P29" s="66">
        <f t="shared" si="12"/>
        <v>0</v>
      </c>
      <c r="Q29" s="77">
        <f>+SUM(Altas!E73:AI73)</f>
        <v>0</v>
      </c>
      <c r="R29" s="77">
        <f>VLOOKUP(H29,Tabla2[[#All],[IDPV]:[PP VOZ]],120,0)</f>
        <v>1.6351545438375223</v>
      </c>
      <c r="S29" s="77">
        <f t="shared" si="13"/>
        <v>-1.6351545438375223</v>
      </c>
      <c r="T29" s="66">
        <f t="shared" si="14"/>
        <v>0</v>
      </c>
      <c r="U29" s="78">
        <f>+SUM(Altas!E120:AI120)</f>
        <v>0</v>
      </c>
      <c r="V29" s="77">
        <f>VLOOKUP(H29,Tabla2[[#All],[IDPV]:[PP VOZ]],121,0)</f>
        <v>0.24119600166211994</v>
      </c>
      <c r="W29" s="77">
        <f t="shared" si="15"/>
        <v>-0.24119600166211994</v>
      </c>
      <c r="X29" s="66">
        <f t="shared" si="16"/>
        <v>0</v>
      </c>
      <c r="Y29" s="77">
        <f t="shared" si="17"/>
        <v>0</v>
      </c>
      <c r="Z29" s="77">
        <f>VLOOKUP(H29,Tabla2[[#All],[IDPV]:[PP VOZ]],122,0)</f>
        <v>1.1185846252651368</v>
      </c>
      <c r="AA29" s="77">
        <f t="shared" si="18"/>
        <v>-1.1185846252651368</v>
      </c>
      <c r="AB29" s="28">
        <f t="shared" si="19"/>
        <v>0</v>
      </c>
      <c r="AC29" s="28">
        <f t="shared" si="20"/>
        <v>2.9949351707647791</v>
      </c>
      <c r="AD29" s="28">
        <f t="shared" si="21"/>
        <v>-2.9949351707647791</v>
      </c>
      <c r="AE29" s="28">
        <f t="shared" si="22"/>
        <v>0</v>
      </c>
      <c r="AF29" s="28">
        <f t="shared" si="23"/>
        <v>1.6351545438375223</v>
      </c>
      <c r="AG29" s="28">
        <f t="shared" si="24"/>
        <v>-1.6351545438375223</v>
      </c>
      <c r="AH29" s="28">
        <f t="shared" si="25"/>
        <v>0</v>
      </c>
      <c r="AI29" s="28">
        <f t="shared" si="26"/>
        <v>0.24119600166211994</v>
      </c>
      <c r="AJ29" s="28">
        <f t="shared" si="27"/>
        <v>-0.24119600166211994</v>
      </c>
      <c r="AK29" s="28" t="e">
        <f>+Y29/#REF!</f>
        <v>#REF!</v>
      </c>
      <c r="AL29" s="28" t="e">
        <f>+Z29/#REF!</f>
        <v>#REF!</v>
      </c>
      <c r="AM29" s="28" t="e">
        <f t="shared" si="33"/>
        <v>#REF!</v>
      </c>
      <c r="AN29" s="64">
        <f>+COUNTIFS(FieldWy!A:A,H29,FieldWy!F:F,"&lt;&gt;")</f>
        <v>0</v>
      </c>
      <c r="AO29" s="86">
        <f t="shared" si="28"/>
        <v>0</v>
      </c>
      <c r="AP29" s="64">
        <f>+COUNTIFS(FieldWy!A:A,H29,FieldWy!F:F,"&lt;&gt;",FieldWy!AA:AA,"true")</f>
        <v>0</v>
      </c>
      <c r="AQ29" s="86">
        <f t="shared" si="29"/>
        <v>0</v>
      </c>
      <c r="AR29" s="64">
        <f>+COUNTIFS(FieldWy!A:A,H29,FieldWy!F:F,"&lt;&gt;",FieldWy!X:X,"PORTABILIDAD")</f>
        <v>0</v>
      </c>
      <c r="AS29" s="64">
        <f t="shared" si="30"/>
        <v>0</v>
      </c>
      <c r="AT29" s="64">
        <f t="shared" si="32"/>
        <v>0</v>
      </c>
      <c r="AU29" s="86">
        <f t="shared" si="31"/>
        <v>0</v>
      </c>
    </row>
    <row r="30" spans="1:47" hidden="1" x14ac:dyDescent="0.2">
      <c r="A30" t="s">
        <v>455</v>
      </c>
      <c r="B30" t="s">
        <v>452</v>
      </c>
      <c r="C30" s="43">
        <v>1</v>
      </c>
      <c r="H30">
        <v>2091016</v>
      </c>
      <c r="I30" t="s">
        <v>399</v>
      </c>
      <c r="J30" t="s">
        <v>460</v>
      </c>
      <c r="K30" s="43" t="s">
        <v>280</v>
      </c>
      <c r="L30" s="66">
        <f t="shared" si="10"/>
        <v>0</v>
      </c>
      <c r="M30" s="77">
        <f>SUM(Altas!E27:AI27)</f>
        <v>0</v>
      </c>
      <c r="N30" s="77">
        <f>VLOOKUP(H30,Cuota!$D:$DU,119,0)</f>
        <v>3.390907088506105</v>
      </c>
      <c r="O30" s="77">
        <f t="shared" si="11"/>
        <v>-3.390907088506105</v>
      </c>
      <c r="P30" s="66">
        <f t="shared" si="12"/>
        <v>0</v>
      </c>
      <c r="Q30" s="77">
        <f>+SUM(Altas!E74:AI74)</f>
        <v>0</v>
      </c>
      <c r="R30" s="77">
        <f>VLOOKUP(H30,Tabla2[[#All],[IDPV]:[PP VOZ]],120,0)</f>
        <v>2.3406782937372603</v>
      </c>
      <c r="S30" s="77">
        <f t="shared" si="13"/>
        <v>-2.3406782937372603</v>
      </c>
      <c r="T30" s="66">
        <f t="shared" si="14"/>
        <v>0</v>
      </c>
      <c r="U30" s="78">
        <f>+SUM(Altas!E121:AI121)</f>
        <v>0</v>
      </c>
      <c r="V30" s="77">
        <f>VLOOKUP(H30,Tabla2[[#All],[IDPV]:[PP VOZ]],121,0)</f>
        <v>0.36179400249317989</v>
      </c>
      <c r="W30" s="77">
        <f t="shared" si="15"/>
        <v>-0.36179400249317989</v>
      </c>
      <c r="X30" s="66">
        <f t="shared" si="16"/>
        <v>0</v>
      </c>
      <c r="Y30" s="77">
        <f t="shared" si="17"/>
        <v>0</v>
      </c>
      <c r="Z30" s="77">
        <f>VLOOKUP(H30,Tabla2[[#All],[IDPV]:[PP VOZ]],122,0)</f>
        <v>0.68843479227566462</v>
      </c>
      <c r="AA30" s="77">
        <f t="shared" si="18"/>
        <v>-0.68843479227566462</v>
      </c>
      <c r="AB30" s="28">
        <f t="shared" si="19"/>
        <v>0</v>
      </c>
      <c r="AC30" s="28">
        <f t="shared" si="20"/>
        <v>3.390907088506105</v>
      </c>
      <c r="AD30" s="28">
        <f t="shared" si="21"/>
        <v>-3.390907088506105</v>
      </c>
      <c r="AE30" s="28">
        <f t="shared" si="22"/>
        <v>0</v>
      </c>
      <c r="AF30" s="28">
        <f t="shared" si="23"/>
        <v>2.3406782937372603</v>
      </c>
      <c r="AG30" s="28">
        <f t="shared" si="24"/>
        <v>-2.3406782937372603</v>
      </c>
      <c r="AH30" s="28">
        <f t="shared" si="25"/>
        <v>0</v>
      </c>
      <c r="AI30" s="28">
        <f t="shared" si="26"/>
        <v>0.36179400249317989</v>
      </c>
      <c r="AJ30" s="28">
        <f t="shared" si="27"/>
        <v>-0.36179400249317989</v>
      </c>
      <c r="AN30" s="64">
        <f>+COUNTIFS(FieldWy!A:A,H30,FieldWy!F:F,"&lt;&gt;")</f>
        <v>0</v>
      </c>
      <c r="AO30" s="86">
        <f t="shared" si="28"/>
        <v>0</v>
      </c>
      <c r="AP30" s="64">
        <f>+COUNTIFS(FieldWy!A:A,H30,FieldWy!F:F,"&lt;&gt;",FieldWy!AA:AA,"true")</f>
        <v>0</v>
      </c>
      <c r="AQ30" s="86">
        <f t="shared" si="29"/>
        <v>0</v>
      </c>
      <c r="AR30" s="64">
        <f>+COUNTIFS(FieldWy!A:A,H30,FieldWy!F:F,"&lt;&gt;",FieldWy!X:X,"PORTABILIDAD")</f>
        <v>0</v>
      </c>
      <c r="AS30" s="64">
        <f t="shared" si="30"/>
        <v>0</v>
      </c>
      <c r="AT30" s="64">
        <f t="shared" si="32"/>
        <v>0</v>
      </c>
      <c r="AU30" s="86">
        <f t="shared" si="31"/>
        <v>0</v>
      </c>
    </row>
    <row r="31" spans="1:47" hidden="1" x14ac:dyDescent="0.2">
      <c r="A31" t="s">
        <v>454</v>
      </c>
      <c r="B31" t="s">
        <v>450</v>
      </c>
      <c r="C31" s="43">
        <v>1</v>
      </c>
      <c r="H31">
        <v>2091032</v>
      </c>
      <c r="I31" t="s">
        <v>400</v>
      </c>
      <c r="J31" t="s">
        <v>460</v>
      </c>
      <c r="K31" s="43" t="s">
        <v>280</v>
      </c>
      <c r="L31" s="66">
        <f t="shared" si="10"/>
        <v>0</v>
      </c>
      <c r="M31" s="77">
        <f>SUM(Altas!E28:AI28)</f>
        <v>0</v>
      </c>
      <c r="N31" s="77">
        <f>VLOOKUP(H31,Cuota!$D:$DU,119,0)</f>
        <v>3.8552348367437226</v>
      </c>
      <c r="O31" s="77">
        <f t="shared" si="11"/>
        <v>-3.8552348367437226</v>
      </c>
      <c r="P31" s="66">
        <f t="shared" si="12"/>
        <v>0</v>
      </c>
      <c r="Q31" s="77">
        <f>+SUM(Altas!E75:AI75)</f>
        <v>0</v>
      </c>
      <c r="R31" s="77">
        <f>VLOOKUP(H31,Tabla2[[#All],[IDPV]:[PP VOZ]],120,0)</f>
        <v>1.6522435014615955</v>
      </c>
      <c r="S31" s="77">
        <f t="shared" si="13"/>
        <v>-1.6522435014615955</v>
      </c>
      <c r="T31" s="66">
        <f t="shared" si="14"/>
        <v>0</v>
      </c>
      <c r="U31" s="78">
        <f>+SUM(Altas!E122:AI122)</f>
        <v>0</v>
      </c>
      <c r="V31" s="77">
        <f>VLOOKUP(H31,Tabla2[[#All],[IDPV]:[PP VOZ]],121,0)</f>
        <v>0</v>
      </c>
      <c r="W31" s="77">
        <f t="shared" si="15"/>
        <v>0</v>
      </c>
      <c r="X31" s="66">
        <f t="shared" si="16"/>
        <v>0</v>
      </c>
      <c r="Y31" s="77">
        <f t="shared" si="17"/>
        <v>0</v>
      </c>
      <c r="Z31" s="77">
        <f>VLOOKUP(H31,Tabla2[[#All],[IDPV]:[PP VOZ]],122,0)</f>
        <v>2.2029913352821273</v>
      </c>
      <c r="AA31" s="77">
        <f t="shared" si="18"/>
        <v>-2.2029913352821273</v>
      </c>
      <c r="AB31" s="28">
        <f t="shared" si="19"/>
        <v>0</v>
      </c>
      <c r="AC31" s="28">
        <f t="shared" si="20"/>
        <v>3.8552348367437226</v>
      </c>
      <c r="AD31" s="28">
        <f t="shared" si="21"/>
        <v>-3.8552348367437226</v>
      </c>
      <c r="AE31" s="28">
        <f t="shared" si="22"/>
        <v>0</v>
      </c>
      <c r="AF31" s="28">
        <f t="shared" si="23"/>
        <v>1.6522435014615955</v>
      </c>
      <c r="AG31" s="28">
        <f t="shared" si="24"/>
        <v>-1.6522435014615955</v>
      </c>
      <c r="AH31" s="28">
        <f t="shared" si="25"/>
        <v>0</v>
      </c>
      <c r="AI31" s="28">
        <f t="shared" si="26"/>
        <v>0</v>
      </c>
      <c r="AJ31" s="28">
        <f t="shared" si="27"/>
        <v>0</v>
      </c>
      <c r="AN31" s="64">
        <f>+COUNTIFS(FieldWy!A:A,H31,FieldWy!F:F,"&lt;&gt;")</f>
        <v>0</v>
      </c>
      <c r="AO31" s="86">
        <f t="shared" si="28"/>
        <v>0</v>
      </c>
      <c r="AP31" s="64">
        <f>+COUNTIFS(FieldWy!A:A,H31,FieldWy!F:F,"&lt;&gt;",FieldWy!AA:AA,"true")</f>
        <v>0</v>
      </c>
      <c r="AQ31" s="86">
        <f t="shared" si="29"/>
        <v>0</v>
      </c>
      <c r="AR31" s="64">
        <f>+COUNTIFS(FieldWy!A:A,H31,FieldWy!F:F,"&lt;&gt;",FieldWy!X:X,"PORTABILIDAD")</f>
        <v>0</v>
      </c>
      <c r="AS31" s="64">
        <f t="shared" si="30"/>
        <v>0</v>
      </c>
      <c r="AT31" s="64">
        <f t="shared" si="32"/>
        <v>0</v>
      </c>
      <c r="AU31" s="86">
        <f t="shared" si="31"/>
        <v>0</v>
      </c>
    </row>
    <row r="32" spans="1:47" hidden="1" x14ac:dyDescent="0.2">
      <c r="A32" t="s">
        <v>455</v>
      </c>
      <c r="B32" t="s">
        <v>452</v>
      </c>
      <c r="C32" s="43">
        <v>1</v>
      </c>
      <c r="H32">
        <v>2091046</v>
      </c>
      <c r="I32" t="s">
        <v>401</v>
      </c>
      <c r="J32" t="s">
        <v>464</v>
      </c>
      <c r="K32" s="43" t="s">
        <v>280</v>
      </c>
      <c r="L32" s="66">
        <f t="shared" si="10"/>
        <v>0</v>
      </c>
      <c r="M32" s="77">
        <f>SUM(Altas!E29:AI29)</f>
        <v>0</v>
      </c>
      <c r="N32" s="77">
        <f>VLOOKUP(H32,Cuota!$D:$DU,119,0)</f>
        <v>3.9416549223266371</v>
      </c>
      <c r="O32" s="77">
        <f t="shared" si="11"/>
        <v>-3.9416549223266371</v>
      </c>
      <c r="P32" s="66">
        <f t="shared" si="12"/>
        <v>0</v>
      </c>
      <c r="Q32" s="77">
        <f>+SUM(Altas!E76:AI76)</f>
        <v>0</v>
      </c>
      <c r="R32" s="77">
        <f>VLOOKUP(H32,Tabla2[[#All],[IDPV]:[PP VOZ]],120,0)</f>
        <v>2.3406782937372603</v>
      </c>
      <c r="S32" s="77">
        <f t="shared" si="13"/>
        <v>-2.3406782937372603</v>
      </c>
      <c r="T32" s="66">
        <f t="shared" si="14"/>
        <v>0</v>
      </c>
      <c r="U32" s="78">
        <f>+SUM(Altas!E123:AI123)</f>
        <v>0</v>
      </c>
      <c r="V32" s="77">
        <f>VLOOKUP(H32,Tabla2[[#All],[IDPV]:[PP VOZ]],121,0)</f>
        <v>0.36179400249317989</v>
      </c>
      <c r="W32" s="77">
        <f t="shared" si="15"/>
        <v>-0.36179400249317989</v>
      </c>
      <c r="X32" s="66">
        <f t="shared" si="16"/>
        <v>0</v>
      </c>
      <c r="Y32" s="77">
        <f t="shared" si="17"/>
        <v>0</v>
      </c>
      <c r="Z32" s="77">
        <f>VLOOKUP(H32,Tabla2[[#All],[IDPV]:[PP VOZ]],122,0)</f>
        <v>1.2391826260961967</v>
      </c>
      <c r="AA32" s="77">
        <f t="shared" si="18"/>
        <v>-1.2391826260961967</v>
      </c>
      <c r="AB32" s="28">
        <f t="shared" si="19"/>
        <v>0</v>
      </c>
      <c r="AC32" s="28">
        <f t="shared" si="20"/>
        <v>3.9416549223266371</v>
      </c>
      <c r="AD32" s="28">
        <f t="shared" si="21"/>
        <v>-3.9416549223266371</v>
      </c>
      <c r="AE32" s="28">
        <f t="shared" si="22"/>
        <v>0</v>
      </c>
      <c r="AF32" s="28">
        <f t="shared" si="23"/>
        <v>2.3406782937372603</v>
      </c>
      <c r="AG32" s="28">
        <f t="shared" si="24"/>
        <v>-2.3406782937372603</v>
      </c>
      <c r="AH32" s="28">
        <f t="shared" si="25"/>
        <v>0</v>
      </c>
      <c r="AI32" s="28">
        <f t="shared" si="26"/>
        <v>0.36179400249317989</v>
      </c>
      <c r="AJ32" s="28">
        <f t="shared" si="27"/>
        <v>-0.36179400249317989</v>
      </c>
      <c r="AN32" s="64">
        <f>+COUNTIFS(FieldWy!A:A,H32,FieldWy!F:F,"&lt;&gt;")</f>
        <v>0</v>
      </c>
      <c r="AO32" s="86">
        <f t="shared" si="28"/>
        <v>0</v>
      </c>
      <c r="AP32" s="64">
        <f>+COUNTIFS(FieldWy!A:A,H32,FieldWy!F:F,"&lt;&gt;",FieldWy!AA:AA,"true")</f>
        <v>0</v>
      </c>
      <c r="AQ32" s="86">
        <f t="shared" si="29"/>
        <v>0</v>
      </c>
      <c r="AR32" s="64">
        <f>+COUNTIFS(FieldWy!A:A,H32,FieldWy!F:F,"&lt;&gt;",FieldWy!X:X,"PORTABILIDAD")</f>
        <v>0</v>
      </c>
      <c r="AS32" s="64">
        <f t="shared" si="30"/>
        <v>0</v>
      </c>
      <c r="AT32" s="64">
        <f t="shared" si="32"/>
        <v>0</v>
      </c>
      <c r="AU32" s="86">
        <f t="shared" si="31"/>
        <v>0</v>
      </c>
    </row>
    <row r="33" spans="1:47" hidden="1" x14ac:dyDescent="0.2">
      <c r="A33" t="s">
        <v>455</v>
      </c>
      <c r="B33" t="s">
        <v>450</v>
      </c>
      <c r="C33" s="43">
        <v>1</v>
      </c>
      <c r="H33">
        <v>2091151</v>
      </c>
      <c r="I33" t="s">
        <v>402</v>
      </c>
      <c r="J33" t="s">
        <v>461</v>
      </c>
      <c r="K33" s="43" t="s">
        <v>280</v>
      </c>
      <c r="L33" s="66">
        <f t="shared" si="10"/>
        <v>0</v>
      </c>
      <c r="M33" s="77">
        <f>SUM(Altas!E30:AI30)</f>
        <v>0</v>
      </c>
      <c r="N33" s="77">
        <f>VLOOKUP(H33,Cuota!$D:$DU,119,0)</f>
        <v>1.7728415022926554</v>
      </c>
      <c r="O33" s="77">
        <f t="shared" si="11"/>
        <v>-1.7728415022926554</v>
      </c>
      <c r="P33" s="66">
        <f t="shared" si="12"/>
        <v>0</v>
      </c>
      <c r="Q33" s="77">
        <f>+SUM(Altas!E77:AI77)</f>
        <v>0</v>
      </c>
      <c r="R33" s="77">
        <f>VLOOKUP(H33,Tabla2[[#All],[IDPV]:[PP VOZ]],120,0)</f>
        <v>0.96380870918593065</v>
      </c>
      <c r="S33" s="77">
        <f t="shared" si="13"/>
        <v>-0.96380870918593065</v>
      </c>
      <c r="T33" s="66">
        <f t="shared" si="14"/>
        <v>0</v>
      </c>
      <c r="U33" s="78">
        <f>+SUM(Altas!E124:AI124)</f>
        <v>0</v>
      </c>
      <c r="V33" s="77">
        <f>VLOOKUP(H33,Tabla2[[#All],[IDPV]:[PP VOZ]],121,0)</f>
        <v>0.12059800083105997</v>
      </c>
      <c r="W33" s="77">
        <f t="shared" si="15"/>
        <v>-0.12059800083105997</v>
      </c>
      <c r="X33" s="66">
        <f t="shared" si="16"/>
        <v>0</v>
      </c>
      <c r="Y33" s="77">
        <f t="shared" si="17"/>
        <v>0</v>
      </c>
      <c r="Z33" s="77">
        <f>VLOOKUP(H33,Tabla2[[#All],[IDPV]:[PP VOZ]],122,0)</f>
        <v>0.68843479227566484</v>
      </c>
      <c r="AA33" s="77">
        <f t="shared" si="18"/>
        <v>-0.68843479227566484</v>
      </c>
      <c r="AB33" s="28">
        <f t="shared" si="19"/>
        <v>0</v>
      </c>
      <c r="AC33" s="28">
        <f t="shared" si="20"/>
        <v>1.7728415022926554</v>
      </c>
      <c r="AD33" s="28">
        <f t="shared" si="21"/>
        <v>-1.7728415022926554</v>
      </c>
      <c r="AE33" s="28">
        <f t="shared" si="22"/>
        <v>0</v>
      </c>
      <c r="AF33" s="28">
        <f t="shared" si="23"/>
        <v>0.96380870918593065</v>
      </c>
      <c r="AG33" s="28">
        <f t="shared" si="24"/>
        <v>-0.96380870918593065</v>
      </c>
      <c r="AH33" s="28">
        <f t="shared" si="25"/>
        <v>0</v>
      </c>
      <c r="AI33" s="28">
        <f t="shared" si="26"/>
        <v>0.12059800083105997</v>
      </c>
      <c r="AJ33" s="28">
        <f t="shared" si="27"/>
        <v>-0.12059800083105997</v>
      </c>
      <c r="AN33" s="64">
        <f>+COUNTIFS(FieldWy!A:A,H33,FieldWy!F:F,"&lt;&gt;")</f>
        <v>0</v>
      </c>
      <c r="AO33" s="86">
        <f t="shared" si="28"/>
        <v>0</v>
      </c>
      <c r="AP33" s="64">
        <f>+COUNTIFS(FieldWy!A:A,H33,FieldWy!F:F,"&lt;&gt;",FieldWy!AA:AA,"true")</f>
        <v>0</v>
      </c>
      <c r="AQ33" s="86">
        <f t="shared" si="29"/>
        <v>0</v>
      </c>
      <c r="AR33" s="64">
        <f>+COUNTIFS(FieldWy!A:A,H33,FieldWy!F:F,"&lt;&gt;",FieldWy!X:X,"PORTABILIDAD")</f>
        <v>0</v>
      </c>
      <c r="AS33" s="64">
        <f t="shared" si="30"/>
        <v>0</v>
      </c>
      <c r="AT33" s="64">
        <f t="shared" si="32"/>
        <v>0</v>
      </c>
      <c r="AU33" s="86">
        <f t="shared" si="31"/>
        <v>0</v>
      </c>
    </row>
    <row r="34" spans="1:47" hidden="1" x14ac:dyDescent="0.2">
      <c r="A34" t="s">
        <v>455</v>
      </c>
      <c r="B34" t="s">
        <v>451</v>
      </c>
      <c r="C34" s="43">
        <v>1</v>
      </c>
      <c r="H34">
        <v>2091192</v>
      </c>
      <c r="I34" t="s">
        <v>403</v>
      </c>
      <c r="J34" t="s">
        <v>460</v>
      </c>
      <c r="K34" s="43" t="s">
        <v>281</v>
      </c>
      <c r="L34" s="66">
        <f t="shared" si="10"/>
        <v>0</v>
      </c>
      <c r="M34" s="77">
        <f>SUM(Altas!E31:AI31)</f>
        <v>0</v>
      </c>
      <c r="N34" s="77">
        <f>VLOOKUP(H34,Cuota!$D:$DU,119,0)</f>
        <v>1.3597806269272565</v>
      </c>
      <c r="O34" s="77">
        <f t="shared" si="11"/>
        <v>-1.3597806269272565</v>
      </c>
      <c r="P34" s="66">
        <f t="shared" si="12"/>
        <v>0</v>
      </c>
      <c r="Q34" s="77">
        <f>+SUM(Altas!E78:AI78)</f>
        <v>0</v>
      </c>
      <c r="R34" s="77">
        <f>VLOOKUP(H34,Tabla2[[#All],[IDPV]:[PP VOZ]],120,0)</f>
        <v>0.55074783382053183</v>
      </c>
      <c r="S34" s="77">
        <f t="shared" si="13"/>
        <v>-0.55074783382053183</v>
      </c>
      <c r="T34" s="66">
        <f t="shared" si="14"/>
        <v>0</v>
      </c>
      <c r="U34" s="78">
        <f>+SUM(Altas!E125:AI125)</f>
        <v>0</v>
      </c>
      <c r="V34" s="77">
        <f>VLOOKUP(H34,Tabla2[[#All],[IDPV]:[PP VOZ]],121,0)</f>
        <v>0.12059800083105997</v>
      </c>
      <c r="W34" s="77">
        <f t="shared" si="15"/>
        <v>-0.12059800083105997</v>
      </c>
      <c r="X34" s="66">
        <f t="shared" si="16"/>
        <v>0</v>
      </c>
      <c r="Y34" s="77">
        <f t="shared" si="17"/>
        <v>0</v>
      </c>
      <c r="Z34" s="77">
        <f>VLOOKUP(H34,Tabla2[[#All],[IDPV]:[PP VOZ]],122,0)</f>
        <v>0.68843479227566473</v>
      </c>
      <c r="AA34" s="77">
        <f t="shared" si="18"/>
        <v>-0.68843479227566473</v>
      </c>
      <c r="AB34" s="28">
        <f t="shared" si="19"/>
        <v>0</v>
      </c>
      <c r="AC34" s="28">
        <f t="shared" si="20"/>
        <v>1.3597806269272565</v>
      </c>
      <c r="AD34" s="28">
        <f t="shared" si="21"/>
        <v>-1.3597806269272565</v>
      </c>
      <c r="AE34" s="28">
        <f t="shared" si="22"/>
        <v>0</v>
      </c>
      <c r="AF34" s="28">
        <f t="shared" si="23"/>
        <v>0.55074783382053183</v>
      </c>
      <c r="AG34" s="28">
        <f t="shared" si="24"/>
        <v>-0.55074783382053183</v>
      </c>
      <c r="AH34" s="28">
        <f t="shared" si="25"/>
        <v>0</v>
      </c>
      <c r="AI34" s="28">
        <f t="shared" si="26"/>
        <v>0.12059800083105997</v>
      </c>
      <c r="AJ34" s="28">
        <f t="shared" si="27"/>
        <v>-0.12059800083105997</v>
      </c>
      <c r="AN34" s="64">
        <f>+COUNTIFS(FieldWy!A:A,H34,FieldWy!F:F,"&lt;&gt;")</f>
        <v>0</v>
      </c>
      <c r="AO34" s="86">
        <f t="shared" si="28"/>
        <v>0</v>
      </c>
      <c r="AP34" s="64">
        <f>+COUNTIFS(FieldWy!A:A,H34,FieldWy!F:F,"&lt;&gt;",FieldWy!AA:AA,"true")</f>
        <v>0</v>
      </c>
      <c r="AQ34" s="86">
        <f t="shared" si="29"/>
        <v>0</v>
      </c>
      <c r="AR34" s="64">
        <f>+COUNTIFS(FieldWy!A:A,H34,FieldWy!F:F,"&lt;&gt;",FieldWy!X:X,"PORTABILIDAD")</f>
        <v>0</v>
      </c>
      <c r="AS34" s="64">
        <f t="shared" si="30"/>
        <v>0</v>
      </c>
      <c r="AT34" s="64">
        <f t="shared" si="32"/>
        <v>0</v>
      </c>
      <c r="AU34" s="86">
        <f t="shared" si="31"/>
        <v>0</v>
      </c>
    </row>
    <row r="35" spans="1:47" hidden="1" x14ac:dyDescent="0.2">
      <c r="A35" t="s">
        <v>455</v>
      </c>
      <c r="B35" t="s">
        <v>450</v>
      </c>
      <c r="C35" s="43">
        <v>1</v>
      </c>
      <c r="H35">
        <v>2091194</v>
      </c>
      <c r="I35" t="s">
        <v>404</v>
      </c>
      <c r="J35" t="s">
        <v>465</v>
      </c>
      <c r="K35" s="43" t="s">
        <v>281</v>
      </c>
      <c r="L35" s="66">
        <f t="shared" si="10"/>
        <v>0</v>
      </c>
      <c r="M35" s="77">
        <f>SUM(Altas!E32:AI32)</f>
        <v>0</v>
      </c>
      <c r="N35" s="77">
        <f>VLOOKUP(H35,Cuota!$D:$DU,119,0)</f>
        <v>1.3597806269272565</v>
      </c>
      <c r="O35" s="77">
        <f t="shared" si="11"/>
        <v>-1.3597806269272565</v>
      </c>
      <c r="P35" s="66">
        <f t="shared" si="12"/>
        <v>0</v>
      </c>
      <c r="Q35" s="77">
        <f>+SUM(Altas!E79:AI79)</f>
        <v>0</v>
      </c>
      <c r="R35" s="77">
        <f>VLOOKUP(H35,Tabla2[[#All],[IDPV]:[PP VOZ]],120,0)</f>
        <v>0.27537391691026591</v>
      </c>
      <c r="S35" s="77">
        <f t="shared" si="13"/>
        <v>-0.27537391691026591</v>
      </c>
      <c r="T35" s="66">
        <f t="shared" si="14"/>
        <v>0</v>
      </c>
      <c r="U35" s="78">
        <f>+SUM(Altas!E126:AI126)</f>
        <v>0</v>
      </c>
      <c r="V35" s="77">
        <f>VLOOKUP(H35,Tabla2[[#All],[IDPV]:[PP VOZ]],121,0)</f>
        <v>0.12059800083105997</v>
      </c>
      <c r="W35" s="77">
        <f t="shared" si="15"/>
        <v>-0.12059800083105997</v>
      </c>
      <c r="X35" s="66">
        <f t="shared" si="16"/>
        <v>0</v>
      </c>
      <c r="Y35" s="77">
        <f t="shared" si="17"/>
        <v>0</v>
      </c>
      <c r="Z35" s="77">
        <f>VLOOKUP(H35,Tabla2[[#All],[IDPV]:[PP VOZ]],122,0)</f>
        <v>0.96380870918593065</v>
      </c>
      <c r="AA35" s="77">
        <f t="shared" si="18"/>
        <v>-0.96380870918593065</v>
      </c>
      <c r="AB35" s="28">
        <f t="shared" si="19"/>
        <v>0</v>
      </c>
      <c r="AC35" s="28">
        <f t="shared" si="20"/>
        <v>1.3597806269272565</v>
      </c>
      <c r="AD35" s="28">
        <f t="shared" si="21"/>
        <v>-1.3597806269272565</v>
      </c>
      <c r="AE35" s="28">
        <f t="shared" si="22"/>
        <v>0</v>
      </c>
      <c r="AF35" s="28">
        <f t="shared" si="23"/>
        <v>0.27537391691026591</v>
      </c>
      <c r="AG35" s="28">
        <f t="shared" si="24"/>
        <v>-0.27537391691026591</v>
      </c>
      <c r="AH35" s="28">
        <f t="shared" si="25"/>
        <v>0</v>
      </c>
      <c r="AI35" s="28">
        <f t="shared" si="26"/>
        <v>0.12059800083105997</v>
      </c>
      <c r="AJ35" s="28">
        <f t="shared" si="27"/>
        <v>-0.12059800083105997</v>
      </c>
      <c r="AN35" s="64">
        <f>+COUNTIFS(FieldWy!A:A,H35,FieldWy!F:F,"&lt;&gt;")</f>
        <v>0</v>
      </c>
      <c r="AO35" s="86">
        <f t="shared" si="28"/>
        <v>0</v>
      </c>
      <c r="AP35" s="64">
        <f>+COUNTIFS(FieldWy!A:A,H35,FieldWy!F:F,"&lt;&gt;",FieldWy!AA:AA,"true")</f>
        <v>0</v>
      </c>
      <c r="AQ35" s="86">
        <f t="shared" si="29"/>
        <v>0</v>
      </c>
      <c r="AR35" s="64">
        <f>+COUNTIFS(FieldWy!A:A,H35,FieldWy!F:F,"&lt;&gt;",FieldWy!X:X,"PORTABILIDAD")</f>
        <v>0</v>
      </c>
      <c r="AS35" s="64">
        <f t="shared" si="30"/>
        <v>0</v>
      </c>
      <c r="AT35" s="64">
        <f t="shared" si="32"/>
        <v>0</v>
      </c>
      <c r="AU35" s="86">
        <f t="shared" si="31"/>
        <v>0</v>
      </c>
    </row>
    <row r="36" spans="1:47" hidden="1" x14ac:dyDescent="0.2">
      <c r="A36" t="s">
        <v>455</v>
      </c>
      <c r="B36" t="s">
        <v>451</v>
      </c>
      <c r="C36" s="43">
        <v>1</v>
      </c>
      <c r="H36">
        <v>2091206</v>
      </c>
      <c r="I36" t="s">
        <v>405</v>
      </c>
      <c r="J36" t="s">
        <v>466</v>
      </c>
      <c r="K36" s="43" t="s">
        <v>281</v>
      </c>
      <c r="L36" s="66">
        <f t="shared" si="10"/>
        <v>0</v>
      </c>
      <c r="M36" s="77">
        <f>SUM(Altas!E33:AI33)</f>
        <v>0</v>
      </c>
      <c r="N36" s="77">
        <f>VLOOKUP(H36,Cuota!$D:$DU,119,0)</f>
        <v>1.3597806269272565</v>
      </c>
      <c r="O36" s="77">
        <f t="shared" si="11"/>
        <v>-1.3597806269272565</v>
      </c>
      <c r="P36" s="66">
        <f t="shared" si="12"/>
        <v>0</v>
      </c>
      <c r="Q36" s="77">
        <f>+SUM(Altas!E80:AI80)</f>
        <v>0</v>
      </c>
      <c r="R36" s="77">
        <f>VLOOKUP(H36,Tabla2[[#All],[IDPV]:[PP VOZ]],120,0)</f>
        <v>0.68843479227566484</v>
      </c>
      <c r="S36" s="77">
        <f t="shared" si="13"/>
        <v>-0.68843479227566484</v>
      </c>
      <c r="T36" s="66">
        <f t="shared" si="14"/>
        <v>0</v>
      </c>
      <c r="U36" s="78">
        <f>+SUM(Altas!E127:AI127)</f>
        <v>0</v>
      </c>
      <c r="V36" s="77">
        <f>VLOOKUP(H36,Tabla2[[#All],[IDPV]:[PP VOZ]],121,0)</f>
        <v>0.12059800083105997</v>
      </c>
      <c r="W36" s="77">
        <f t="shared" si="15"/>
        <v>-0.12059800083105997</v>
      </c>
      <c r="X36" s="66">
        <f t="shared" si="16"/>
        <v>0</v>
      </c>
      <c r="Y36" s="77">
        <f t="shared" si="17"/>
        <v>0</v>
      </c>
      <c r="Z36" s="77">
        <f>VLOOKUP(H36,Tabla2[[#All],[IDPV]:[PP VOZ]],122,0)</f>
        <v>0.55074783382053172</v>
      </c>
      <c r="AA36" s="77">
        <f t="shared" si="18"/>
        <v>-0.55074783382053172</v>
      </c>
      <c r="AB36" s="28">
        <f t="shared" si="19"/>
        <v>0</v>
      </c>
      <c r="AC36" s="28">
        <f t="shared" si="20"/>
        <v>1.3597806269272565</v>
      </c>
      <c r="AD36" s="28">
        <f t="shared" si="21"/>
        <v>-1.3597806269272565</v>
      </c>
      <c r="AE36" s="28">
        <f t="shared" si="22"/>
        <v>0</v>
      </c>
      <c r="AF36" s="28">
        <f t="shared" si="23"/>
        <v>0.68843479227566484</v>
      </c>
      <c r="AG36" s="28">
        <f t="shared" si="24"/>
        <v>-0.68843479227566484</v>
      </c>
      <c r="AH36" s="28">
        <f t="shared" si="25"/>
        <v>0</v>
      </c>
      <c r="AI36" s="28">
        <f t="shared" si="26"/>
        <v>0.12059800083105997</v>
      </c>
      <c r="AJ36" s="28">
        <f t="shared" si="27"/>
        <v>-0.12059800083105997</v>
      </c>
      <c r="AN36" s="64">
        <f>+COUNTIFS(FieldWy!A:A,H36,FieldWy!F:F,"&lt;&gt;")</f>
        <v>0</v>
      </c>
      <c r="AO36" s="86">
        <f t="shared" si="28"/>
        <v>0</v>
      </c>
      <c r="AP36" s="64">
        <f>+COUNTIFS(FieldWy!A:A,H36,FieldWy!F:F,"&lt;&gt;",FieldWy!AA:AA,"true")</f>
        <v>0</v>
      </c>
      <c r="AQ36" s="86">
        <f t="shared" si="29"/>
        <v>0</v>
      </c>
      <c r="AR36" s="64">
        <f>+COUNTIFS(FieldWy!A:A,H36,FieldWy!F:F,"&lt;&gt;",FieldWy!X:X,"PORTABILIDAD")</f>
        <v>0</v>
      </c>
      <c r="AS36" s="64">
        <f t="shared" si="30"/>
        <v>0</v>
      </c>
      <c r="AT36" s="64">
        <f t="shared" si="32"/>
        <v>0</v>
      </c>
      <c r="AU36" s="86">
        <f t="shared" si="31"/>
        <v>0</v>
      </c>
    </row>
    <row r="37" spans="1:47" hidden="1" x14ac:dyDescent="0.2">
      <c r="A37" t="s">
        <v>456</v>
      </c>
      <c r="B37" t="s">
        <v>453</v>
      </c>
      <c r="C37" s="43">
        <v>1</v>
      </c>
      <c r="H37">
        <v>2091207</v>
      </c>
      <c r="I37" t="s">
        <v>406</v>
      </c>
      <c r="J37" t="s">
        <v>467</v>
      </c>
      <c r="K37" s="43" t="s">
        <v>281</v>
      </c>
      <c r="L37" s="66">
        <f t="shared" si="10"/>
        <v>0</v>
      </c>
      <c r="M37" s="77">
        <f>SUM(Altas!E34:AI34)</f>
        <v>0</v>
      </c>
      <c r="N37" s="77">
        <f>VLOOKUP(H37,Cuota!$D:$DU,119,0)</f>
        <v>1.3597806269272565</v>
      </c>
      <c r="O37" s="77">
        <f t="shared" si="11"/>
        <v>-1.3597806269272565</v>
      </c>
      <c r="P37" s="66">
        <f t="shared" si="12"/>
        <v>0</v>
      </c>
      <c r="Q37" s="77">
        <f>+SUM(Altas!E81:AI81)</f>
        <v>0</v>
      </c>
      <c r="R37" s="77">
        <f>VLOOKUP(H37,Tabla2[[#All],[IDPV]:[PP VOZ]],120,0)</f>
        <v>0.68843479227566484</v>
      </c>
      <c r="S37" s="77">
        <f t="shared" si="13"/>
        <v>-0.68843479227566484</v>
      </c>
      <c r="T37" s="66">
        <f t="shared" si="14"/>
        <v>0</v>
      </c>
      <c r="U37" s="78">
        <f>+SUM(Altas!E128:AI128)</f>
        <v>0</v>
      </c>
      <c r="V37" s="77">
        <f>VLOOKUP(H37,Tabla2[[#All],[IDPV]:[PP VOZ]],121,0)</f>
        <v>0.12059800083105997</v>
      </c>
      <c r="W37" s="77">
        <f t="shared" si="15"/>
        <v>-0.12059800083105997</v>
      </c>
      <c r="X37" s="66">
        <f t="shared" si="16"/>
        <v>0</v>
      </c>
      <c r="Y37" s="77">
        <f t="shared" si="17"/>
        <v>0</v>
      </c>
      <c r="Z37" s="77">
        <f>VLOOKUP(H37,Tabla2[[#All],[IDPV]:[PP VOZ]],122,0)</f>
        <v>0.55074783382053172</v>
      </c>
      <c r="AA37" s="77">
        <f t="shared" si="18"/>
        <v>-0.55074783382053172</v>
      </c>
      <c r="AB37" s="28">
        <f t="shared" si="19"/>
        <v>0</v>
      </c>
      <c r="AC37" s="28">
        <f t="shared" si="20"/>
        <v>1.3597806269272565</v>
      </c>
      <c r="AD37" s="28">
        <f t="shared" si="21"/>
        <v>-1.3597806269272565</v>
      </c>
      <c r="AE37" s="28">
        <f t="shared" si="22"/>
        <v>0</v>
      </c>
      <c r="AF37" s="28">
        <f t="shared" si="23"/>
        <v>0.68843479227566484</v>
      </c>
      <c r="AG37" s="28">
        <f t="shared" si="24"/>
        <v>-0.68843479227566484</v>
      </c>
      <c r="AH37" s="28">
        <f t="shared" si="25"/>
        <v>0</v>
      </c>
      <c r="AI37" s="28">
        <f t="shared" si="26"/>
        <v>0.12059800083105997</v>
      </c>
      <c r="AJ37" s="28">
        <f t="shared" si="27"/>
        <v>-0.12059800083105997</v>
      </c>
      <c r="AN37" s="64">
        <f>+COUNTIFS(FieldWy!A:A,H37,FieldWy!F:F,"&lt;&gt;")</f>
        <v>0</v>
      </c>
      <c r="AO37" s="86">
        <f t="shared" si="28"/>
        <v>0</v>
      </c>
      <c r="AP37" s="64">
        <f>+COUNTIFS(FieldWy!A:A,H37,FieldWy!F:F,"&lt;&gt;",FieldWy!AA:AA,"true")</f>
        <v>0</v>
      </c>
      <c r="AQ37" s="86">
        <f t="shared" si="29"/>
        <v>0</v>
      </c>
      <c r="AR37" s="64">
        <f>+COUNTIFS(FieldWy!A:A,H37,FieldWy!F:F,"&lt;&gt;",FieldWy!X:X,"PORTABILIDAD")</f>
        <v>0</v>
      </c>
      <c r="AS37" s="64">
        <f t="shared" si="30"/>
        <v>0</v>
      </c>
      <c r="AT37" s="64">
        <f t="shared" si="32"/>
        <v>0</v>
      </c>
      <c r="AU37" s="86">
        <f t="shared" si="31"/>
        <v>0</v>
      </c>
    </row>
    <row r="38" spans="1:47" hidden="1" x14ac:dyDescent="0.2">
      <c r="A38" t="s">
        <v>455</v>
      </c>
      <c r="B38" t="s">
        <v>451</v>
      </c>
      <c r="C38" s="43">
        <v>1</v>
      </c>
      <c r="H38">
        <v>2091209</v>
      </c>
      <c r="I38" t="s">
        <v>407</v>
      </c>
      <c r="J38" t="s">
        <v>460</v>
      </c>
      <c r="K38" s="43" t="s">
        <v>281</v>
      </c>
      <c r="L38" s="66">
        <f t="shared" ref="L38:L69" si="34">+IFERROR(M38/N38,0)</f>
        <v>0</v>
      </c>
      <c r="M38" s="77">
        <f>SUM(Altas!E35:AI35)</f>
        <v>0</v>
      </c>
      <c r="N38" s="77">
        <f>VLOOKUP(H38,Cuota!$D:$DU,119,0)</f>
        <v>1.3597806269272565</v>
      </c>
      <c r="O38" s="77">
        <f t="shared" ref="O38:O69" si="35">+M38-N38</f>
        <v>-1.3597806269272565</v>
      </c>
      <c r="P38" s="66">
        <f t="shared" ref="P38:P69" si="36">+IFERROR(Q38/R38,0)</f>
        <v>0</v>
      </c>
      <c r="Q38" s="77">
        <f>+SUM(Altas!E82:AI82)</f>
        <v>0</v>
      </c>
      <c r="R38" s="77">
        <f>VLOOKUP(H38,Tabla2[[#All],[IDPV]:[PP VOZ]],120,0)</f>
        <v>0.68843479227566484</v>
      </c>
      <c r="S38" s="77">
        <f t="shared" ref="S38:S69" si="37">+Q38-R38</f>
        <v>-0.68843479227566484</v>
      </c>
      <c r="T38" s="66">
        <f t="shared" ref="T38:T69" si="38">+IFERROR(U38/V38,0)</f>
        <v>0</v>
      </c>
      <c r="U38" s="78">
        <f>+SUM(Altas!E129:AI129)</f>
        <v>0</v>
      </c>
      <c r="V38" s="77">
        <f>VLOOKUP(H38,Tabla2[[#All],[IDPV]:[PP VOZ]],121,0)</f>
        <v>0.12059800083105997</v>
      </c>
      <c r="W38" s="77">
        <f t="shared" ref="W38:W69" si="39">+U38-V38</f>
        <v>-0.12059800083105997</v>
      </c>
      <c r="X38" s="66">
        <f t="shared" ref="X38:X69" si="40">+IFERROR(Y38/Z38,0)</f>
        <v>0</v>
      </c>
      <c r="Y38" s="77">
        <f t="shared" ref="Y38:Y69" si="41">+M38-(Q38+U38)</f>
        <v>0</v>
      </c>
      <c r="Z38" s="77">
        <f>VLOOKUP(H38,Tabla2[[#All],[IDPV]:[PP VOZ]],122,0)</f>
        <v>0.55074783382053172</v>
      </c>
      <c r="AA38" s="77">
        <f t="shared" ref="AA38:AA69" si="42">+Y38-Z38</f>
        <v>-0.55074783382053172</v>
      </c>
      <c r="AB38" s="28">
        <f t="shared" ref="AB38:AB69" si="43">+M38/$F$3</f>
        <v>0</v>
      </c>
      <c r="AC38" s="28">
        <f t="shared" ref="AC38:AC69" si="44">+N38/$F$3</f>
        <v>1.3597806269272565</v>
      </c>
      <c r="AD38" s="28">
        <f t="shared" ref="AD38:AD69" si="45">+AB38-AC38</f>
        <v>-1.3597806269272565</v>
      </c>
      <c r="AE38" s="28">
        <f t="shared" ref="AE38:AE69" si="46">+Q38/$F$3</f>
        <v>0</v>
      </c>
      <c r="AF38" s="28">
        <f t="shared" ref="AF38:AF69" si="47">+R38/$F$3</f>
        <v>0.68843479227566484</v>
      </c>
      <c r="AG38" s="28">
        <f t="shared" ref="AG38:AG69" si="48">+AE38-AF38</f>
        <v>-0.68843479227566484</v>
      </c>
      <c r="AH38" s="28">
        <f t="shared" ref="AH38:AH69" si="49">+U38/$F$3</f>
        <v>0</v>
      </c>
      <c r="AI38" s="28">
        <f t="shared" ref="AI38:AI69" si="50">+V38/$F$3</f>
        <v>0.12059800083105997</v>
      </c>
      <c r="AJ38" s="28">
        <f t="shared" ref="AJ38:AJ69" si="51">+AH38-AI38</f>
        <v>-0.12059800083105997</v>
      </c>
      <c r="AN38" s="64">
        <f>+COUNTIFS(FieldWy!A:A,H38,FieldWy!F:F,"&lt;&gt;")</f>
        <v>0</v>
      </c>
      <c r="AO38" s="86">
        <f t="shared" ref="AO38:AO69" si="52">+M38-AN38</f>
        <v>0</v>
      </c>
      <c r="AP38" s="64">
        <f>+COUNTIFS(FieldWy!A:A,H38,FieldWy!F:F,"&lt;&gt;",FieldWy!AA:AA,"true")</f>
        <v>0</v>
      </c>
      <c r="AQ38" s="86">
        <f t="shared" ref="AQ38:AQ69" si="53">+Q38-AP38</f>
        <v>0</v>
      </c>
      <c r="AR38" s="64">
        <f>+COUNTIFS(FieldWy!A:A,H38,FieldWy!F:F,"&lt;&gt;",FieldWy!X:X,"PORTABILIDAD")</f>
        <v>0</v>
      </c>
      <c r="AS38" s="64">
        <f t="shared" ref="AS38:AS69" si="54">+U38+AR38</f>
        <v>0</v>
      </c>
      <c r="AT38" s="64">
        <f t="shared" si="32"/>
        <v>0</v>
      </c>
      <c r="AU38" s="86">
        <f t="shared" ref="AU38:AU69" si="55">+Y38-AT38</f>
        <v>0</v>
      </c>
    </row>
    <row r="39" spans="1:47" hidden="1" x14ac:dyDescent="0.2">
      <c r="A39" t="s">
        <v>455</v>
      </c>
      <c r="B39" t="s">
        <v>452</v>
      </c>
      <c r="C39" s="43">
        <v>1</v>
      </c>
      <c r="H39">
        <v>2091238</v>
      </c>
      <c r="I39" t="s">
        <v>408</v>
      </c>
      <c r="J39" t="s">
        <v>468</v>
      </c>
      <c r="K39" s="43" t="s">
        <v>281</v>
      </c>
      <c r="L39" s="66">
        <f t="shared" si="34"/>
        <v>0</v>
      </c>
      <c r="M39" s="77">
        <f>SUM(Altas!E36:AI36)</f>
        <v>0</v>
      </c>
      <c r="N39" s="77">
        <f>VLOOKUP(H39,Cuota!$D:$DU,119,0)</f>
        <v>1.6351545438375226</v>
      </c>
      <c r="O39" s="77">
        <f t="shared" si="35"/>
        <v>-1.6351545438375226</v>
      </c>
      <c r="P39" s="66">
        <f t="shared" si="36"/>
        <v>0</v>
      </c>
      <c r="Q39" s="77">
        <f>+SUM(Altas!E83:AI83)</f>
        <v>0</v>
      </c>
      <c r="R39" s="77">
        <f>VLOOKUP(H39,Tabla2[[#All],[IDPV]:[PP VOZ]],120,0)</f>
        <v>0.94671975156185773</v>
      </c>
      <c r="S39" s="77">
        <f t="shared" si="37"/>
        <v>-0.94671975156185773</v>
      </c>
      <c r="T39" s="66">
        <f t="shared" si="38"/>
        <v>0</v>
      </c>
      <c r="U39" s="78">
        <f>+SUM(Altas!E130:AI130)</f>
        <v>0</v>
      </c>
      <c r="V39" s="77">
        <f>VLOOKUP(H39,Tabla2[[#All],[IDPV]:[PP VOZ]],121,0)</f>
        <v>0.12059800083105997</v>
      </c>
      <c r="W39" s="77">
        <f t="shared" si="39"/>
        <v>-0.12059800083105997</v>
      </c>
      <c r="X39" s="66">
        <f t="shared" si="40"/>
        <v>0</v>
      </c>
      <c r="Y39" s="77">
        <f t="shared" si="41"/>
        <v>0</v>
      </c>
      <c r="Z39" s="77">
        <f>VLOOKUP(H39,Tabla2[[#All],[IDPV]:[PP VOZ]],122,0)</f>
        <v>0.56783679144460497</v>
      </c>
      <c r="AA39" s="77">
        <f t="shared" si="42"/>
        <v>-0.56783679144460497</v>
      </c>
      <c r="AB39" s="28">
        <f t="shared" si="43"/>
        <v>0</v>
      </c>
      <c r="AC39" s="28">
        <f t="shared" si="44"/>
        <v>1.6351545438375226</v>
      </c>
      <c r="AD39" s="28">
        <f t="shared" si="45"/>
        <v>-1.6351545438375226</v>
      </c>
      <c r="AE39" s="28">
        <f t="shared" si="46"/>
        <v>0</v>
      </c>
      <c r="AF39" s="28">
        <f t="shared" si="47"/>
        <v>0.94671975156185773</v>
      </c>
      <c r="AG39" s="28">
        <f t="shared" si="48"/>
        <v>-0.94671975156185773</v>
      </c>
      <c r="AH39" s="28">
        <f t="shared" si="49"/>
        <v>0</v>
      </c>
      <c r="AI39" s="28">
        <f t="shared" si="50"/>
        <v>0.12059800083105997</v>
      </c>
      <c r="AJ39" s="28">
        <f t="shared" si="51"/>
        <v>-0.12059800083105997</v>
      </c>
      <c r="AN39" s="64">
        <f>+COUNTIFS(FieldWy!A:A,H39,FieldWy!F:F,"&lt;&gt;")</f>
        <v>0</v>
      </c>
      <c r="AO39" s="86">
        <f t="shared" si="52"/>
        <v>0</v>
      </c>
      <c r="AP39" s="64">
        <f>+COUNTIFS(FieldWy!A:A,H39,FieldWy!F:F,"&lt;&gt;",FieldWy!AA:AA,"true")</f>
        <v>0</v>
      </c>
      <c r="AQ39" s="86">
        <f t="shared" si="53"/>
        <v>0</v>
      </c>
      <c r="AR39" s="64">
        <f>+COUNTIFS(FieldWy!A:A,H39,FieldWy!F:F,"&lt;&gt;",FieldWy!X:X,"PORTABILIDAD")</f>
        <v>0</v>
      </c>
      <c r="AS39" s="64">
        <f t="shared" si="54"/>
        <v>0</v>
      </c>
      <c r="AT39" s="64">
        <f t="shared" si="32"/>
        <v>0</v>
      </c>
      <c r="AU39" s="86">
        <f t="shared" si="55"/>
        <v>0</v>
      </c>
    </row>
    <row r="40" spans="1:47" hidden="1" x14ac:dyDescent="0.2">
      <c r="A40" t="s">
        <v>456</v>
      </c>
      <c r="B40" t="s">
        <v>453</v>
      </c>
      <c r="C40" s="43">
        <v>1</v>
      </c>
      <c r="H40">
        <v>2091244</v>
      </c>
      <c r="I40" t="s">
        <v>409</v>
      </c>
      <c r="J40" t="s">
        <v>467</v>
      </c>
      <c r="K40" s="43" t="s">
        <v>281</v>
      </c>
      <c r="L40" s="66">
        <f t="shared" si="34"/>
        <v>0</v>
      </c>
      <c r="M40" s="77">
        <f>SUM(Altas!E37:AI37)</f>
        <v>0</v>
      </c>
      <c r="N40" s="77">
        <f>VLOOKUP(H40,Cuota!$D:$DU,119,0)</f>
        <v>1.2391826260961967</v>
      </c>
      <c r="O40" s="77">
        <f t="shared" si="35"/>
        <v>-1.2391826260961967</v>
      </c>
      <c r="P40" s="66">
        <f t="shared" si="36"/>
        <v>0</v>
      </c>
      <c r="Q40" s="77">
        <f>+SUM(Altas!E84:AI84)</f>
        <v>0</v>
      </c>
      <c r="R40" s="77">
        <f>VLOOKUP(H40,Tabla2[[#All],[IDPV]:[PP VOZ]],120,0)</f>
        <v>0.13768695845513296</v>
      </c>
      <c r="S40" s="77">
        <f t="shared" si="37"/>
        <v>-0.13768695845513296</v>
      </c>
      <c r="T40" s="66">
        <f t="shared" si="38"/>
        <v>0</v>
      </c>
      <c r="U40" s="78">
        <f>+SUM(Altas!E131:AI131)</f>
        <v>0</v>
      </c>
      <c r="V40" s="77">
        <f>VLOOKUP(H40,Tabla2[[#All],[IDPV]:[PP VOZ]],121,0)</f>
        <v>0</v>
      </c>
      <c r="W40" s="77">
        <f t="shared" si="39"/>
        <v>0</v>
      </c>
      <c r="X40" s="66">
        <f t="shared" si="40"/>
        <v>0</v>
      </c>
      <c r="Y40" s="77">
        <f t="shared" si="41"/>
        <v>0</v>
      </c>
      <c r="Z40" s="77">
        <f>VLOOKUP(H40,Tabla2[[#All],[IDPV]:[PP VOZ]],122,0)</f>
        <v>1.1014956676410637</v>
      </c>
      <c r="AA40" s="77">
        <f t="shared" si="42"/>
        <v>-1.1014956676410637</v>
      </c>
      <c r="AB40" s="28">
        <f t="shared" si="43"/>
        <v>0</v>
      </c>
      <c r="AC40" s="28">
        <f t="shared" si="44"/>
        <v>1.2391826260961967</v>
      </c>
      <c r="AD40" s="28">
        <f t="shared" si="45"/>
        <v>-1.2391826260961967</v>
      </c>
      <c r="AE40" s="28">
        <f t="shared" si="46"/>
        <v>0</v>
      </c>
      <c r="AF40" s="28">
        <f t="shared" si="47"/>
        <v>0.13768695845513296</v>
      </c>
      <c r="AG40" s="28">
        <f t="shared" si="48"/>
        <v>-0.13768695845513296</v>
      </c>
      <c r="AH40" s="28">
        <f t="shared" si="49"/>
        <v>0</v>
      </c>
      <c r="AI40" s="28">
        <f t="shared" si="50"/>
        <v>0</v>
      </c>
      <c r="AJ40" s="28">
        <f t="shared" si="51"/>
        <v>0</v>
      </c>
      <c r="AN40" s="64">
        <f>+COUNTIFS(FieldWy!A:A,H40,FieldWy!F:F,"&lt;&gt;")</f>
        <v>0</v>
      </c>
      <c r="AO40" s="86">
        <f t="shared" si="52"/>
        <v>0</v>
      </c>
      <c r="AP40" s="64">
        <f>+COUNTIFS(FieldWy!A:A,H40,FieldWy!F:F,"&lt;&gt;",FieldWy!AA:AA,"true")</f>
        <v>0</v>
      </c>
      <c r="AQ40" s="86">
        <f t="shared" si="53"/>
        <v>0</v>
      </c>
      <c r="AR40" s="64">
        <f>+COUNTIFS(FieldWy!A:A,H40,FieldWy!F:F,"&lt;&gt;",FieldWy!X:X,"PORTABILIDAD")</f>
        <v>0</v>
      </c>
      <c r="AS40" s="64">
        <f t="shared" si="54"/>
        <v>0</v>
      </c>
      <c r="AT40" s="64">
        <f t="shared" si="32"/>
        <v>0</v>
      </c>
      <c r="AU40" s="86">
        <f t="shared" si="55"/>
        <v>0</v>
      </c>
    </row>
    <row r="41" spans="1:47" hidden="1" x14ac:dyDescent="0.2">
      <c r="A41" t="s">
        <v>455</v>
      </c>
      <c r="B41" t="s">
        <v>452</v>
      </c>
      <c r="C41" s="43">
        <v>1</v>
      </c>
      <c r="H41">
        <v>2091372</v>
      </c>
      <c r="I41" t="s">
        <v>410</v>
      </c>
      <c r="J41" t="s">
        <v>468</v>
      </c>
      <c r="K41" s="43" t="s">
        <v>280</v>
      </c>
      <c r="L41" s="66">
        <f t="shared" si="34"/>
        <v>0</v>
      </c>
      <c r="M41" s="77">
        <f>SUM(Altas!E38:AI38)</f>
        <v>0</v>
      </c>
      <c r="N41" s="77">
        <f>VLOOKUP(H41,Cuota!$D:$DU,119,0)</f>
        <v>1.6351545438375226</v>
      </c>
      <c r="O41" s="77">
        <f t="shared" si="35"/>
        <v>-1.6351545438375226</v>
      </c>
      <c r="P41" s="66">
        <f t="shared" si="36"/>
        <v>0</v>
      </c>
      <c r="Q41" s="77">
        <f>+SUM(Altas!E85:AI85)</f>
        <v>0</v>
      </c>
      <c r="R41" s="77">
        <f>VLOOKUP(H41,Tabla2[[#All],[IDPV]:[PP VOZ]],120,0)</f>
        <v>0.68843479227566484</v>
      </c>
      <c r="S41" s="77">
        <f t="shared" si="37"/>
        <v>-0.68843479227566484</v>
      </c>
      <c r="T41" s="66">
        <f t="shared" si="38"/>
        <v>0</v>
      </c>
      <c r="U41" s="78">
        <f>+SUM(Altas!E132:AI132)</f>
        <v>0</v>
      </c>
      <c r="V41" s="77">
        <f>VLOOKUP(H41,Tabla2[[#All],[IDPV]:[PP VOZ]],121,0)</f>
        <v>0.12059800083105997</v>
      </c>
      <c r="W41" s="77">
        <f t="shared" si="39"/>
        <v>-0.12059800083105997</v>
      </c>
      <c r="X41" s="66">
        <f t="shared" si="40"/>
        <v>0</v>
      </c>
      <c r="Y41" s="77">
        <f t="shared" si="41"/>
        <v>0</v>
      </c>
      <c r="Z41" s="77">
        <f>VLOOKUP(H41,Tabla2[[#All],[IDPV]:[PP VOZ]],122,0)</f>
        <v>0.82612175073079774</v>
      </c>
      <c r="AA41" s="77">
        <f t="shared" si="42"/>
        <v>-0.82612175073079774</v>
      </c>
      <c r="AB41" s="28">
        <f t="shared" si="43"/>
        <v>0</v>
      </c>
      <c r="AC41" s="28">
        <f t="shared" si="44"/>
        <v>1.6351545438375226</v>
      </c>
      <c r="AD41" s="28">
        <f t="shared" si="45"/>
        <v>-1.6351545438375226</v>
      </c>
      <c r="AE41" s="28">
        <f t="shared" si="46"/>
        <v>0</v>
      </c>
      <c r="AF41" s="28">
        <f t="shared" si="47"/>
        <v>0.68843479227566484</v>
      </c>
      <c r="AG41" s="28">
        <f t="shared" si="48"/>
        <v>-0.68843479227566484</v>
      </c>
      <c r="AH41" s="28">
        <f t="shared" si="49"/>
        <v>0</v>
      </c>
      <c r="AI41" s="28">
        <f t="shared" si="50"/>
        <v>0.12059800083105997</v>
      </c>
      <c r="AJ41" s="28">
        <f t="shared" si="51"/>
        <v>-0.12059800083105997</v>
      </c>
      <c r="AN41" s="64">
        <f>+COUNTIFS(FieldWy!A:A,H41,FieldWy!F:F,"&lt;&gt;")</f>
        <v>0</v>
      </c>
      <c r="AO41" s="86">
        <f t="shared" si="52"/>
        <v>0</v>
      </c>
      <c r="AP41" s="64">
        <f>+COUNTIFS(FieldWy!A:A,H41,FieldWy!F:F,"&lt;&gt;",FieldWy!AA:AA,"true")</f>
        <v>0</v>
      </c>
      <c r="AQ41" s="86">
        <f t="shared" si="53"/>
        <v>0</v>
      </c>
      <c r="AR41" s="64">
        <f>+COUNTIFS(FieldWy!A:A,H41,FieldWy!F:F,"&lt;&gt;",FieldWy!X:X,"PORTABILIDAD")</f>
        <v>0</v>
      </c>
      <c r="AS41" s="64">
        <f t="shared" si="54"/>
        <v>0</v>
      </c>
      <c r="AT41" s="64">
        <f t="shared" si="32"/>
        <v>0</v>
      </c>
      <c r="AU41" s="86">
        <f t="shared" si="55"/>
        <v>0</v>
      </c>
    </row>
    <row r="42" spans="1:47" x14ac:dyDescent="0.2">
      <c r="A42" s="43" t="s">
        <v>99</v>
      </c>
      <c r="B42" s="43" t="s">
        <v>127</v>
      </c>
      <c r="C42" s="43">
        <v>1</v>
      </c>
      <c r="D42" s="43" t="s">
        <v>387</v>
      </c>
      <c r="E42" s="43"/>
      <c r="F42" s="43"/>
      <c r="G42" s="43" t="s">
        <v>343</v>
      </c>
      <c r="H42" s="43">
        <v>2091438</v>
      </c>
      <c r="I42" s="43" t="s">
        <v>33</v>
      </c>
      <c r="J42" s="43" t="s">
        <v>34</v>
      </c>
      <c r="K42" s="43" t="s">
        <v>5</v>
      </c>
      <c r="L42" s="66">
        <f t="shared" si="34"/>
        <v>0</v>
      </c>
      <c r="M42" s="77">
        <f>SUM(Altas!E39:AI39)</f>
        <v>0</v>
      </c>
      <c r="N42" s="77">
        <f>VLOOKUP(H42,Cuota!$D:$DU,119,0)</f>
        <v>2.0482154192029216</v>
      </c>
      <c r="O42" s="77">
        <f t="shared" si="35"/>
        <v>-2.0482154192029216</v>
      </c>
      <c r="P42" s="66">
        <f t="shared" si="36"/>
        <v>0</v>
      </c>
      <c r="Q42" s="77">
        <f>+SUM(Altas!E86:AI86)</f>
        <v>0</v>
      </c>
      <c r="R42" s="77">
        <f>VLOOKUP(H42,Tabla2[[#All],[IDPV]:[PP VOZ]],120,0)</f>
        <v>0.68843479227566484</v>
      </c>
      <c r="S42" s="77">
        <f t="shared" si="37"/>
        <v>-0.68843479227566484</v>
      </c>
      <c r="T42" s="66">
        <f t="shared" si="38"/>
        <v>0</v>
      </c>
      <c r="U42" s="78">
        <f>+SUM(Altas!E133:AI133)</f>
        <v>0</v>
      </c>
      <c r="V42" s="77">
        <f>VLOOKUP(H42,Tabla2[[#All],[IDPV]:[PP VOZ]],121,0)</f>
        <v>0.12059800083105997</v>
      </c>
      <c r="W42" s="77">
        <f t="shared" si="39"/>
        <v>-0.12059800083105997</v>
      </c>
      <c r="X42" s="66">
        <f t="shared" si="40"/>
        <v>0</v>
      </c>
      <c r="Y42" s="77">
        <f t="shared" si="41"/>
        <v>0</v>
      </c>
      <c r="Z42" s="77">
        <f>VLOOKUP(H42,Tabla2[[#All],[IDPV]:[PP VOZ]],122,0)</f>
        <v>1.2391826260961967</v>
      </c>
      <c r="AA42" s="77">
        <f t="shared" si="42"/>
        <v>-1.2391826260961967</v>
      </c>
      <c r="AB42" s="28">
        <f t="shared" si="43"/>
        <v>0</v>
      </c>
      <c r="AC42" s="28">
        <f t="shared" si="44"/>
        <v>2.0482154192029216</v>
      </c>
      <c r="AD42" s="28">
        <f t="shared" si="45"/>
        <v>-2.0482154192029216</v>
      </c>
      <c r="AE42" s="28">
        <f t="shared" si="46"/>
        <v>0</v>
      </c>
      <c r="AF42" s="28">
        <f t="shared" si="47"/>
        <v>0.68843479227566484</v>
      </c>
      <c r="AG42" s="28">
        <f t="shared" si="48"/>
        <v>-0.68843479227566484</v>
      </c>
      <c r="AH42" s="28">
        <f t="shared" si="49"/>
        <v>0</v>
      </c>
      <c r="AI42" s="28">
        <f t="shared" si="50"/>
        <v>0.12059800083105997</v>
      </c>
      <c r="AJ42" s="28">
        <f t="shared" si="51"/>
        <v>-0.12059800083105997</v>
      </c>
      <c r="AK42" s="28" t="e">
        <f>+Y42/#REF!</f>
        <v>#REF!</v>
      </c>
      <c r="AL42" s="28" t="e">
        <f>+Z42/#REF!</f>
        <v>#REF!</v>
      </c>
      <c r="AM42" s="28" t="e">
        <f>+AK42-AL42</f>
        <v>#REF!</v>
      </c>
      <c r="AN42" s="64">
        <f>+COUNTIFS(FieldWy!A:A,H42,FieldWy!F:F,"&lt;&gt;")</f>
        <v>0</v>
      </c>
      <c r="AO42" s="86">
        <f t="shared" si="52"/>
        <v>0</v>
      </c>
      <c r="AP42" s="64">
        <f>+COUNTIFS(FieldWy!A:A,H42,FieldWy!F:F,"&lt;&gt;",FieldWy!AA:AA,"true")</f>
        <v>0</v>
      </c>
      <c r="AQ42" s="86">
        <f t="shared" si="53"/>
        <v>0</v>
      </c>
      <c r="AR42" s="64">
        <f>+COUNTIFS(FieldWy!A:A,H42,FieldWy!F:F,"&lt;&gt;",FieldWy!X:X,"PORTABILIDAD")</f>
        <v>0</v>
      </c>
      <c r="AS42" s="64">
        <f t="shared" si="54"/>
        <v>0</v>
      </c>
      <c r="AT42" s="64">
        <f t="shared" si="32"/>
        <v>0</v>
      </c>
      <c r="AU42" s="86">
        <f t="shared" si="55"/>
        <v>0</v>
      </c>
    </row>
    <row r="43" spans="1:47" hidden="1" x14ac:dyDescent="0.2">
      <c r="A43" t="s">
        <v>455</v>
      </c>
      <c r="B43" t="s">
        <v>450</v>
      </c>
      <c r="C43" s="43">
        <v>1</v>
      </c>
      <c r="H43">
        <v>2091496</v>
      </c>
      <c r="I43" t="s">
        <v>411</v>
      </c>
      <c r="J43" t="s">
        <v>461</v>
      </c>
      <c r="K43" s="43" t="s">
        <v>281</v>
      </c>
      <c r="L43" s="66">
        <f t="shared" si="34"/>
        <v>0</v>
      </c>
      <c r="M43" s="77">
        <f>SUM(Altas!E40:AI40)</f>
        <v>0</v>
      </c>
      <c r="N43" s="77">
        <f>VLOOKUP(H43,Cuota!$D:$DU,119,0)</f>
        <v>1.3597806269272565</v>
      </c>
      <c r="O43" s="77">
        <f t="shared" si="35"/>
        <v>-1.3597806269272565</v>
      </c>
      <c r="P43" s="66">
        <f t="shared" si="36"/>
        <v>0</v>
      </c>
      <c r="Q43" s="77">
        <f>+SUM(Altas!E87:AI87)</f>
        <v>0</v>
      </c>
      <c r="R43" s="77">
        <f>VLOOKUP(H43,Tabla2[[#All],[IDPV]:[PP VOZ]],120,0)</f>
        <v>0.27537391691026591</v>
      </c>
      <c r="S43" s="77">
        <f t="shared" si="37"/>
        <v>-0.27537391691026591</v>
      </c>
      <c r="T43" s="66">
        <f t="shared" si="38"/>
        <v>0</v>
      </c>
      <c r="U43" s="78">
        <f>+SUM(Altas!E134:AI134)</f>
        <v>0</v>
      </c>
      <c r="V43" s="77">
        <f>VLOOKUP(H43,Tabla2[[#All],[IDPV]:[PP VOZ]],121,0)</f>
        <v>0.12059800083105997</v>
      </c>
      <c r="W43" s="77">
        <f t="shared" si="39"/>
        <v>-0.12059800083105997</v>
      </c>
      <c r="X43" s="66">
        <f t="shared" si="40"/>
        <v>0</v>
      </c>
      <c r="Y43" s="77">
        <f t="shared" si="41"/>
        <v>0</v>
      </c>
      <c r="Z43" s="77">
        <f>VLOOKUP(H43,Tabla2[[#All],[IDPV]:[PP VOZ]],122,0)</f>
        <v>0.96380870918593065</v>
      </c>
      <c r="AA43" s="77">
        <f t="shared" si="42"/>
        <v>-0.96380870918593065</v>
      </c>
      <c r="AB43" s="28">
        <f t="shared" si="43"/>
        <v>0</v>
      </c>
      <c r="AC43" s="28">
        <f t="shared" si="44"/>
        <v>1.3597806269272565</v>
      </c>
      <c r="AD43" s="28">
        <f t="shared" si="45"/>
        <v>-1.3597806269272565</v>
      </c>
      <c r="AE43" s="28">
        <f t="shared" si="46"/>
        <v>0</v>
      </c>
      <c r="AF43" s="28">
        <f t="shared" si="47"/>
        <v>0.27537391691026591</v>
      </c>
      <c r="AG43" s="28">
        <f t="shared" si="48"/>
        <v>-0.27537391691026591</v>
      </c>
      <c r="AH43" s="28">
        <f t="shared" si="49"/>
        <v>0</v>
      </c>
      <c r="AI43" s="28">
        <f t="shared" si="50"/>
        <v>0.12059800083105997</v>
      </c>
      <c r="AJ43" s="28">
        <f t="shared" si="51"/>
        <v>-0.12059800083105997</v>
      </c>
      <c r="AN43" s="64">
        <f>+COUNTIFS(FieldWy!A:A,H43,FieldWy!F:F,"&lt;&gt;")</f>
        <v>0</v>
      </c>
      <c r="AO43" s="86">
        <f t="shared" si="52"/>
        <v>0</v>
      </c>
      <c r="AP43" s="64">
        <f>+COUNTIFS(FieldWy!A:A,H43,FieldWy!F:F,"&lt;&gt;",FieldWy!AA:AA,"true")</f>
        <v>0</v>
      </c>
      <c r="AQ43" s="86">
        <f t="shared" si="53"/>
        <v>0</v>
      </c>
      <c r="AR43" s="64">
        <f>+COUNTIFS(FieldWy!A:A,H43,FieldWy!F:F,"&lt;&gt;",FieldWy!X:X,"PORTABILIDAD")</f>
        <v>0</v>
      </c>
      <c r="AS43" s="64">
        <f t="shared" si="54"/>
        <v>0</v>
      </c>
      <c r="AT43" s="64">
        <f t="shared" si="32"/>
        <v>0</v>
      </c>
      <c r="AU43" s="86">
        <f t="shared" si="55"/>
        <v>0</v>
      </c>
    </row>
    <row r="44" spans="1:47" hidden="1" x14ac:dyDescent="0.2">
      <c r="A44" t="s">
        <v>455</v>
      </c>
      <c r="B44" t="s">
        <v>450</v>
      </c>
      <c r="C44" s="43">
        <v>1</v>
      </c>
      <c r="H44">
        <v>2091551</v>
      </c>
      <c r="I44" t="s">
        <v>412</v>
      </c>
      <c r="J44" t="s">
        <v>460</v>
      </c>
      <c r="K44" s="43" t="s">
        <v>280</v>
      </c>
      <c r="L44" s="66">
        <f t="shared" si="34"/>
        <v>0</v>
      </c>
      <c r="M44" s="77">
        <f>SUM(Altas!E41:AI41)</f>
        <v>0</v>
      </c>
      <c r="N44" s="77">
        <f>VLOOKUP(H44,Cuota!$D:$DU,119,0)</f>
        <v>4.3547157976920357</v>
      </c>
      <c r="O44" s="77">
        <f t="shared" si="35"/>
        <v>-4.3547157976920357</v>
      </c>
      <c r="P44" s="66">
        <f t="shared" si="36"/>
        <v>0</v>
      </c>
      <c r="Q44" s="77">
        <f>+SUM(Altas!E88:AI88)</f>
        <v>0</v>
      </c>
      <c r="R44" s="77">
        <f>VLOOKUP(H44,Tabla2[[#All],[IDPV]:[PP VOZ]],120,0)</f>
        <v>2.6160522106475264</v>
      </c>
      <c r="S44" s="77">
        <f t="shared" si="37"/>
        <v>-2.6160522106475264</v>
      </c>
      <c r="T44" s="66">
        <f t="shared" si="38"/>
        <v>0</v>
      </c>
      <c r="U44" s="78">
        <f>+SUM(Altas!E135:AI135)</f>
        <v>0</v>
      </c>
      <c r="V44" s="77">
        <f>VLOOKUP(H44,Tabla2[[#All],[IDPV]:[PP VOZ]],121,0)</f>
        <v>0.36179400249317989</v>
      </c>
      <c r="W44" s="77">
        <f t="shared" si="39"/>
        <v>-0.36179400249317989</v>
      </c>
      <c r="X44" s="66">
        <f t="shared" si="40"/>
        <v>0</v>
      </c>
      <c r="Y44" s="77">
        <f t="shared" si="41"/>
        <v>0</v>
      </c>
      <c r="Z44" s="77">
        <f>VLOOKUP(H44,Tabla2[[#All],[IDPV]:[PP VOZ]],122,0)</f>
        <v>1.3768695845513292</v>
      </c>
      <c r="AA44" s="77">
        <f t="shared" si="42"/>
        <v>-1.3768695845513292</v>
      </c>
      <c r="AB44" s="28">
        <f t="shared" si="43"/>
        <v>0</v>
      </c>
      <c r="AC44" s="28">
        <f t="shared" si="44"/>
        <v>4.3547157976920357</v>
      </c>
      <c r="AD44" s="28">
        <f t="shared" si="45"/>
        <v>-4.3547157976920357</v>
      </c>
      <c r="AE44" s="28">
        <f t="shared" si="46"/>
        <v>0</v>
      </c>
      <c r="AF44" s="28">
        <f t="shared" si="47"/>
        <v>2.6160522106475264</v>
      </c>
      <c r="AG44" s="28">
        <f t="shared" si="48"/>
        <v>-2.6160522106475264</v>
      </c>
      <c r="AH44" s="28">
        <f t="shared" si="49"/>
        <v>0</v>
      </c>
      <c r="AI44" s="28">
        <f t="shared" si="50"/>
        <v>0.36179400249317989</v>
      </c>
      <c r="AJ44" s="28">
        <f t="shared" si="51"/>
        <v>-0.36179400249317989</v>
      </c>
      <c r="AN44" s="64">
        <f>+COUNTIFS(FieldWy!A:A,H44,FieldWy!F:F,"&lt;&gt;")</f>
        <v>0</v>
      </c>
      <c r="AO44" s="86">
        <f t="shared" si="52"/>
        <v>0</v>
      </c>
      <c r="AP44" s="64">
        <f>+COUNTIFS(FieldWy!A:A,H44,FieldWy!F:F,"&lt;&gt;",FieldWy!AA:AA,"true")</f>
        <v>0</v>
      </c>
      <c r="AQ44" s="86">
        <f t="shared" si="53"/>
        <v>0</v>
      </c>
      <c r="AR44" s="64">
        <f>+COUNTIFS(FieldWy!A:A,H44,FieldWy!F:F,"&lt;&gt;",FieldWy!X:X,"PORTABILIDAD")</f>
        <v>0</v>
      </c>
      <c r="AS44" s="64">
        <f t="shared" si="54"/>
        <v>0</v>
      </c>
      <c r="AT44" s="64">
        <f t="shared" si="32"/>
        <v>0</v>
      </c>
      <c r="AU44" s="86">
        <f t="shared" si="55"/>
        <v>0</v>
      </c>
    </row>
    <row r="45" spans="1:47" hidden="1" x14ac:dyDescent="0.2">
      <c r="A45" t="s">
        <v>455</v>
      </c>
      <c r="B45" t="s">
        <v>451</v>
      </c>
      <c r="C45" s="43">
        <v>1</v>
      </c>
      <c r="H45">
        <v>2091565</v>
      </c>
      <c r="I45" t="s">
        <v>413</v>
      </c>
      <c r="J45" t="s">
        <v>466</v>
      </c>
      <c r="K45" s="43" t="s">
        <v>280</v>
      </c>
      <c r="L45" s="66">
        <f t="shared" si="34"/>
        <v>0</v>
      </c>
      <c r="M45" s="77">
        <f>SUM(Altas!E42:AI42)</f>
        <v>0</v>
      </c>
      <c r="N45" s="77">
        <f>VLOOKUP(H45,Cuota!$D:$DU,119,0)</f>
        <v>3.9416549223266371</v>
      </c>
      <c r="O45" s="77">
        <f t="shared" si="35"/>
        <v>-3.9416549223266371</v>
      </c>
      <c r="P45" s="66">
        <f t="shared" si="36"/>
        <v>0</v>
      </c>
      <c r="Q45" s="77">
        <f>+SUM(Altas!E89:AI89)</f>
        <v>0</v>
      </c>
      <c r="R45" s="77">
        <f>VLOOKUP(H45,Tabla2[[#All],[IDPV]:[PP VOZ]],120,0)</f>
        <v>2.6160522106475264</v>
      </c>
      <c r="S45" s="77">
        <f t="shared" si="37"/>
        <v>-2.6160522106475264</v>
      </c>
      <c r="T45" s="66">
        <f t="shared" si="38"/>
        <v>0</v>
      </c>
      <c r="U45" s="78">
        <f>+SUM(Altas!E136:AI136)</f>
        <v>0</v>
      </c>
      <c r="V45" s="77">
        <f>VLOOKUP(H45,Tabla2[[#All],[IDPV]:[PP VOZ]],121,0)</f>
        <v>0.36179400249317989</v>
      </c>
      <c r="W45" s="77">
        <f t="shared" si="39"/>
        <v>-0.36179400249317989</v>
      </c>
      <c r="X45" s="66">
        <f t="shared" si="40"/>
        <v>0</v>
      </c>
      <c r="Y45" s="77">
        <f t="shared" si="41"/>
        <v>0</v>
      </c>
      <c r="Z45" s="77">
        <f>VLOOKUP(H45,Tabla2[[#All],[IDPV]:[PP VOZ]],122,0)</f>
        <v>0.96380870918593065</v>
      </c>
      <c r="AA45" s="77">
        <f t="shared" si="42"/>
        <v>-0.96380870918593065</v>
      </c>
      <c r="AB45" s="28">
        <f t="shared" si="43"/>
        <v>0</v>
      </c>
      <c r="AC45" s="28">
        <f t="shared" si="44"/>
        <v>3.9416549223266371</v>
      </c>
      <c r="AD45" s="28">
        <f t="shared" si="45"/>
        <v>-3.9416549223266371</v>
      </c>
      <c r="AE45" s="28">
        <f t="shared" si="46"/>
        <v>0</v>
      </c>
      <c r="AF45" s="28">
        <f t="shared" si="47"/>
        <v>2.6160522106475264</v>
      </c>
      <c r="AG45" s="28">
        <f t="shared" si="48"/>
        <v>-2.6160522106475264</v>
      </c>
      <c r="AH45" s="28">
        <f t="shared" si="49"/>
        <v>0</v>
      </c>
      <c r="AI45" s="28">
        <f t="shared" si="50"/>
        <v>0.36179400249317989</v>
      </c>
      <c r="AJ45" s="28">
        <f t="shared" si="51"/>
        <v>-0.36179400249317989</v>
      </c>
      <c r="AN45" s="64">
        <f>+COUNTIFS(FieldWy!A:A,H45,FieldWy!F:F,"&lt;&gt;")</f>
        <v>0</v>
      </c>
      <c r="AO45" s="86">
        <f t="shared" si="52"/>
        <v>0</v>
      </c>
      <c r="AP45" s="64">
        <f>+COUNTIFS(FieldWy!A:A,H45,FieldWy!F:F,"&lt;&gt;",FieldWy!AA:AA,"true")</f>
        <v>0</v>
      </c>
      <c r="AQ45" s="86">
        <f t="shared" si="53"/>
        <v>0</v>
      </c>
      <c r="AR45" s="64">
        <f>+COUNTIFS(FieldWy!A:A,H45,FieldWy!F:F,"&lt;&gt;",FieldWy!X:X,"PORTABILIDAD")</f>
        <v>0</v>
      </c>
      <c r="AS45" s="64">
        <f t="shared" si="54"/>
        <v>0</v>
      </c>
      <c r="AT45" s="64">
        <f t="shared" si="32"/>
        <v>0</v>
      </c>
      <c r="AU45" s="86">
        <f t="shared" si="55"/>
        <v>0</v>
      </c>
    </row>
    <row r="46" spans="1:47" x14ac:dyDescent="0.2">
      <c r="A46" s="43" t="s">
        <v>99</v>
      </c>
      <c r="B46" s="43" t="s">
        <v>127</v>
      </c>
      <c r="C46" s="43">
        <v>1</v>
      </c>
      <c r="D46" s="43" t="s">
        <v>387</v>
      </c>
      <c r="E46" s="43"/>
      <c r="F46" s="43"/>
      <c r="G46" s="43" t="s">
        <v>343</v>
      </c>
      <c r="H46" s="43">
        <v>2091586</v>
      </c>
      <c r="I46" s="43" t="s">
        <v>108</v>
      </c>
      <c r="J46" s="43" t="s">
        <v>35</v>
      </c>
      <c r="K46" s="43" t="s">
        <v>5</v>
      </c>
      <c r="L46" s="66">
        <f t="shared" si="34"/>
        <v>0</v>
      </c>
      <c r="M46" s="77">
        <f>SUM(Altas!E43:AI43)</f>
        <v>0</v>
      </c>
      <c r="N46" s="77">
        <f>VLOOKUP(H46,Cuota!$D:$DU,119,0)</f>
        <v>1.3597806269272565</v>
      </c>
      <c r="O46" s="77">
        <f t="shared" si="35"/>
        <v>-1.3597806269272565</v>
      </c>
      <c r="P46" s="66">
        <f t="shared" si="36"/>
        <v>0</v>
      </c>
      <c r="Q46" s="77">
        <f>+SUM(Altas!E90:AI90)</f>
        <v>0</v>
      </c>
      <c r="R46" s="77">
        <f>VLOOKUP(H46,Tabla2[[#All],[IDPV]:[PP VOZ]],120,0)</f>
        <v>0.68843479227566484</v>
      </c>
      <c r="S46" s="77">
        <f t="shared" si="37"/>
        <v>-0.68843479227566484</v>
      </c>
      <c r="T46" s="66">
        <f t="shared" si="38"/>
        <v>0</v>
      </c>
      <c r="U46" s="78">
        <f>+SUM(Altas!E137:AI137)</f>
        <v>0</v>
      </c>
      <c r="V46" s="77">
        <f>VLOOKUP(H46,Tabla2[[#All],[IDPV]:[PP VOZ]],121,0)</f>
        <v>0.12059800083105997</v>
      </c>
      <c r="W46" s="77">
        <f t="shared" si="39"/>
        <v>-0.12059800083105997</v>
      </c>
      <c r="X46" s="66">
        <f t="shared" si="40"/>
        <v>0</v>
      </c>
      <c r="Y46" s="77">
        <f t="shared" si="41"/>
        <v>0</v>
      </c>
      <c r="Z46" s="77">
        <f>VLOOKUP(H46,Tabla2[[#All],[IDPV]:[PP VOZ]],122,0)</f>
        <v>0.55074783382053172</v>
      </c>
      <c r="AA46" s="77">
        <f t="shared" si="42"/>
        <v>-0.55074783382053172</v>
      </c>
      <c r="AB46" s="28">
        <f t="shared" si="43"/>
        <v>0</v>
      </c>
      <c r="AC46" s="28">
        <f t="shared" si="44"/>
        <v>1.3597806269272565</v>
      </c>
      <c r="AD46" s="28">
        <f t="shared" si="45"/>
        <v>-1.3597806269272565</v>
      </c>
      <c r="AE46" s="28">
        <f t="shared" si="46"/>
        <v>0</v>
      </c>
      <c r="AF46" s="28">
        <f t="shared" si="47"/>
        <v>0.68843479227566484</v>
      </c>
      <c r="AG46" s="28">
        <f t="shared" si="48"/>
        <v>-0.68843479227566484</v>
      </c>
      <c r="AH46" s="28">
        <f t="shared" si="49"/>
        <v>0</v>
      </c>
      <c r="AI46" s="28">
        <f t="shared" si="50"/>
        <v>0.12059800083105997</v>
      </c>
      <c r="AJ46" s="28">
        <f t="shared" si="51"/>
        <v>-0.12059800083105997</v>
      </c>
      <c r="AK46" s="28" t="e">
        <f>+Y46/#REF!</f>
        <v>#REF!</v>
      </c>
      <c r="AL46" s="28" t="e">
        <f>+Z46/#REF!</f>
        <v>#REF!</v>
      </c>
      <c r="AM46" s="28" t="e">
        <f>+AK46-AL46</f>
        <v>#REF!</v>
      </c>
      <c r="AN46" s="64">
        <f>+COUNTIFS(FieldWy!A:A,H46,FieldWy!F:F,"&lt;&gt;")</f>
        <v>0</v>
      </c>
      <c r="AO46" s="86">
        <f t="shared" si="52"/>
        <v>0</v>
      </c>
      <c r="AP46" s="64">
        <f>+COUNTIFS(FieldWy!A:A,H46,FieldWy!F:F,"&lt;&gt;",FieldWy!AA:AA,"true")</f>
        <v>0</v>
      </c>
      <c r="AQ46" s="86">
        <f t="shared" si="53"/>
        <v>0</v>
      </c>
      <c r="AR46" s="64">
        <f>+COUNTIFS(FieldWy!A:A,H46,FieldWy!F:F,"&lt;&gt;",FieldWy!X:X,"PORTABILIDAD")</f>
        <v>0</v>
      </c>
      <c r="AS46" s="64">
        <f t="shared" si="54"/>
        <v>0</v>
      </c>
      <c r="AT46" s="64">
        <f t="shared" si="32"/>
        <v>0</v>
      </c>
      <c r="AU46" s="86">
        <f t="shared" si="55"/>
        <v>0</v>
      </c>
    </row>
    <row r="47" spans="1:47" x14ac:dyDescent="0.2">
      <c r="A47" s="43" t="s">
        <v>99</v>
      </c>
      <c r="B47" s="43" t="s">
        <v>127</v>
      </c>
      <c r="C47" s="43">
        <v>1</v>
      </c>
      <c r="D47" s="43"/>
      <c r="E47" s="43"/>
      <c r="F47" s="43"/>
      <c r="G47" s="43" t="s">
        <v>305</v>
      </c>
      <c r="H47" s="43">
        <v>2091587</v>
      </c>
      <c r="I47" s="43" t="s">
        <v>36</v>
      </c>
      <c r="J47" s="43" t="s">
        <v>37</v>
      </c>
      <c r="K47" s="43" t="s">
        <v>5</v>
      </c>
      <c r="L47" s="66">
        <f t="shared" si="34"/>
        <v>0</v>
      </c>
      <c r="M47" s="77">
        <f>SUM(Altas!E44:AI44)</f>
        <v>0</v>
      </c>
      <c r="N47" s="77">
        <f>VLOOKUP(H47,Cuota!$D:$DU,119,0)</f>
        <v>3.2703090876750451</v>
      </c>
      <c r="O47" s="77">
        <f t="shared" si="35"/>
        <v>-3.2703090876750451</v>
      </c>
      <c r="P47" s="66">
        <f t="shared" si="36"/>
        <v>0</v>
      </c>
      <c r="Q47" s="77">
        <f>+SUM(Altas!E91:AI91)</f>
        <v>0</v>
      </c>
      <c r="R47" s="77">
        <f>VLOOKUP(H47,Tabla2[[#All],[IDPV]:[PP VOZ]],120,0)</f>
        <v>1.3768695845513297</v>
      </c>
      <c r="S47" s="77">
        <f t="shared" si="37"/>
        <v>-1.3768695845513297</v>
      </c>
      <c r="T47" s="66">
        <f t="shared" si="38"/>
        <v>0</v>
      </c>
      <c r="U47" s="78">
        <f>+SUM(Altas!E138:AI138)</f>
        <v>0</v>
      </c>
      <c r="V47" s="77">
        <f>VLOOKUP(H47,Tabla2[[#All],[IDPV]:[PP VOZ]],121,0)</f>
        <v>0.24119600166211994</v>
      </c>
      <c r="W47" s="77">
        <f t="shared" si="39"/>
        <v>-0.24119600166211994</v>
      </c>
      <c r="X47" s="66">
        <f t="shared" si="40"/>
        <v>0</v>
      </c>
      <c r="Y47" s="77">
        <f t="shared" si="41"/>
        <v>0</v>
      </c>
      <c r="Z47" s="77">
        <f>VLOOKUP(H47,Tabla2[[#All],[IDPV]:[PP VOZ]],122,0)</f>
        <v>1.6522435014615955</v>
      </c>
      <c r="AA47" s="77">
        <f t="shared" si="42"/>
        <v>-1.6522435014615955</v>
      </c>
      <c r="AB47" s="28">
        <f t="shared" si="43"/>
        <v>0</v>
      </c>
      <c r="AC47" s="28">
        <f t="shared" si="44"/>
        <v>3.2703090876750451</v>
      </c>
      <c r="AD47" s="28">
        <f t="shared" si="45"/>
        <v>-3.2703090876750451</v>
      </c>
      <c r="AE47" s="28">
        <f t="shared" si="46"/>
        <v>0</v>
      </c>
      <c r="AF47" s="28">
        <f t="shared" si="47"/>
        <v>1.3768695845513297</v>
      </c>
      <c r="AG47" s="28">
        <f t="shared" si="48"/>
        <v>-1.3768695845513297</v>
      </c>
      <c r="AH47" s="28">
        <f t="shared" si="49"/>
        <v>0</v>
      </c>
      <c r="AI47" s="28">
        <f t="shared" si="50"/>
        <v>0.24119600166211994</v>
      </c>
      <c r="AJ47" s="28">
        <f t="shared" si="51"/>
        <v>-0.24119600166211994</v>
      </c>
      <c r="AK47" s="28" t="e">
        <f>+Y47/#REF!</f>
        <v>#REF!</v>
      </c>
      <c r="AL47" s="28" t="e">
        <f>+Z47/#REF!</f>
        <v>#REF!</v>
      </c>
      <c r="AM47" s="28" t="e">
        <f>+AK47-AL47</f>
        <v>#REF!</v>
      </c>
      <c r="AN47" s="64">
        <f>+COUNTIFS(FieldWy!A:A,H47,FieldWy!F:F,"&lt;&gt;")</f>
        <v>0</v>
      </c>
      <c r="AO47" s="86">
        <f t="shared" si="52"/>
        <v>0</v>
      </c>
      <c r="AP47" s="64">
        <f>+COUNTIFS(FieldWy!A:A,H47,FieldWy!F:F,"&lt;&gt;",FieldWy!AA:AA,"true")</f>
        <v>0</v>
      </c>
      <c r="AQ47" s="86">
        <f t="shared" si="53"/>
        <v>0</v>
      </c>
      <c r="AR47" s="64">
        <f>+COUNTIFS(FieldWy!A:A,H47,FieldWy!F:F,"&lt;&gt;",FieldWy!X:X,"PORTABILIDAD")</f>
        <v>0</v>
      </c>
      <c r="AS47" s="64">
        <f t="shared" si="54"/>
        <v>0</v>
      </c>
      <c r="AT47" s="64">
        <f t="shared" si="32"/>
        <v>0</v>
      </c>
      <c r="AU47" s="86">
        <f t="shared" si="55"/>
        <v>0</v>
      </c>
    </row>
    <row r="48" spans="1:47" hidden="1" x14ac:dyDescent="0.2">
      <c r="A48" t="s">
        <v>454</v>
      </c>
      <c r="B48" t="s">
        <v>450</v>
      </c>
      <c r="C48" s="43">
        <v>1</v>
      </c>
      <c r="H48">
        <v>2091588</v>
      </c>
      <c r="I48" t="s">
        <v>414</v>
      </c>
      <c r="J48" t="s">
        <v>459</v>
      </c>
      <c r="K48" s="43" t="s">
        <v>280</v>
      </c>
      <c r="L48" s="66">
        <f t="shared" si="34"/>
        <v>0</v>
      </c>
      <c r="M48" s="77">
        <f>SUM(Altas!E45:AI45)</f>
        <v>0</v>
      </c>
      <c r="N48" s="77">
        <f>VLOOKUP(H48,Cuota!$D:$DU,119,0)</f>
        <v>1.7899304599167285</v>
      </c>
      <c r="O48" s="77">
        <f t="shared" si="35"/>
        <v>-1.7899304599167285</v>
      </c>
      <c r="P48" s="66">
        <f t="shared" si="36"/>
        <v>0</v>
      </c>
      <c r="Q48" s="77">
        <f>+SUM(Altas!E92:AI92)</f>
        <v>0</v>
      </c>
      <c r="R48" s="77">
        <f>VLOOKUP(H48,Tabla2[[#All],[IDPV]:[PP VOZ]],120,0)</f>
        <v>1.2391826260961967</v>
      </c>
      <c r="S48" s="77">
        <f t="shared" si="37"/>
        <v>-1.2391826260961967</v>
      </c>
      <c r="T48" s="66">
        <f t="shared" si="38"/>
        <v>0</v>
      </c>
      <c r="U48" s="78">
        <f>+SUM(Altas!E139:AI139)</f>
        <v>0</v>
      </c>
      <c r="V48" s="77">
        <f>VLOOKUP(H48,Tabla2[[#All],[IDPV]:[PP VOZ]],121,0)</f>
        <v>0</v>
      </c>
      <c r="W48" s="77">
        <f t="shared" si="39"/>
        <v>0</v>
      </c>
      <c r="X48" s="66">
        <f t="shared" si="40"/>
        <v>0</v>
      </c>
      <c r="Y48" s="77">
        <f t="shared" si="41"/>
        <v>0</v>
      </c>
      <c r="Z48" s="77">
        <f>VLOOKUP(H48,Tabla2[[#All],[IDPV]:[PP VOZ]],122,0)</f>
        <v>0.55074783382053183</v>
      </c>
      <c r="AA48" s="77">
        <f t="shared" si="42"/>
        <v>-0.55074783382053183</v>
      </c>
      <c r="AB48" s="28">
        <f t="shared" si="43"/>
        <v>0</v>
      </c>
      <c r="AC48" s="28">
        <f t="shared" si="44"/>
        <v>1.7899304599167285</v>
      </c>
      <c r="AD48" s="28">
        <f t="shared" si="45"/>
        <v>-1.7899304599167285</v>
      </c>
      <c r="AE48" s="28">
        <f t="shared" si="46"/>
        <v>0</v>
      </c>
      <c r="AF48" s="28">
        <f t="shared" si="47"/>
        <v>1.2391826260961967</v>
      </c>
      <c r="AG48" s="28">
        <f t="shared" si="48"/>
        <v>-1.2391826260961967</v>
      </c>
      <c r="AH48" s="28">
        <f t="shared" si="49"/>
        <v>0</v>
      </c>
      <c r="AI48" s="28">
        <f t="shared" si="50"/>
        <v>0</v>
      </c>
      <c r="AJ48" s="28">
        <f t="shared" si="51"/>
        <v>0</v>
      </c>
      <c r="AN48" s="64">
        <f>+COUNTIFS(FieldWy!A:A,H48,FieldWy!F:F,"&lt;&gt;")</f>
        <v>0</v>
      </c>
      <c r="AO48" s="86">
        <f t="shared" si="52"/>
        <v>0</v>
      </c>
      <c r="AP48" s="64">
        <f>+COUNTIFS(FieldWy!A:A,H48,FieldWy!F:F,"&lt;&gt;",FieldWy!AA:AA,"true")</f>
        <v>0</v>
      </c>
      <c r="AQ48" s="86">
        <f t="shared" si="53"/>
        <v>0</v>
      </c>
      <c r="AR48" s="64">
        <f>+COUNTIFS(FieldWy!A:A,H48,FieldWy!F:F,"&lt;&gt;",FieldWy!X:X,"PORTABILIDAD")</f>
        <v>0</v>
      </c>
      <c r="AS48" s="64">
        <f t="shared" si="54"/>
        <v>0</v>
      </c>
      <c r="AT48" s="64">
        <f t="shared" si="32"/>
        <v>0</v>
      </c>
      <c r="AU48" s="86">
        <f t="shared" si="55"/>
        <v>0</v>
      </c>
    </row>
    <row r="49" spans="1:47" hidden="1" x14ac:dyDescent="0.2">
      <c r="A49" t="s">
        <v>457</v>
      </c>
      <c r="B49" t="s">
        <v>453</v>
      </c>
      <c r="C49" s="43">
        <v>1</v>
      </c>
      <c r="H49">
        <v>2091708</v>
      </c>
      <c r="I49" t="s">
        <v>415</v>
      </c>
      <c r="J49" t="s">
        <v>469</v>
      </c>
      <c r="K49" s="43" t="s">
        <v>281</v>
      </c>
      <c r="L49" s="66">
        <f t="shared" si="34"/>
        <v>0</v>
      </c>
      <c r="M49" s="77">
        <f>SUM(Altas!E46:AI46)</f>
        <v>0</v>
      </c>
      <c r="N49" s="77">
        <f>VLOOKUP(H49,Cuota!$D:$DU,119,0)</f>
        <v>1.3597806269272565</v>
      </c>
      <c r="O49" s="77">
        <f t="shared" si="35"/>
        <v>-1.3597806269272565</v>
      </c>
      <c r="P49" s="66">
        <f t="shared" si="36"/>
        <v>0</v>
      </c>
      <c r="Q49" s="77">
        <f>+SUM(Altas!E93:AI93)</f>
        <v>0</v>
      </c>
      <c r="R49" s="77">
        <f>VLOOKUP(H49,Tabla2[[#All],[IDPV]:[PP VOZ]],120,0)</f>
        <v>0.27537391691026591</v>
      </c>
      <c r="S49" s="77">
        <f t="shared" si="37"/>
        <v>-0.27537391691026591</v>
      </c>
      <c r="T49" s="66">
        <f t="shared" si="38"/>
        <v>0</v>
      </c>
      <c r="U49" s="78">
        <f>+SUM(Altas!E140:AI140)</f>
        <v>0</v>
      </c>
      <c r="V49" s="77">
        <f>VLOOKUP(H49,Tabla2[[#All],[IDPV]:[PP VOZ]],121,0)</f>
        <v>0.12059800083105997</v>
      </c>
      <c r="W49" s="77">
        <f t="shared" si="39"/>
        <v>-0.12059800083105997</v>
      </c>
      <c r="X49" s="66">
        <f t="shared" si="40"/>
        <v>0</v>
      </c>
      <c r="Y49" s="77">
        <f t="shared" si="41"/>
        <v>0</v>
      </c>
      <c r="Z49" s="77">
        <f>VLOOKUP(H49,Tabla2[[#All],[IDPV]:[PP VOZ]],122,0)</f>
        <v>0.96380870918593065</v>
      </c>
      <c r="AA49" s="77">
        <f t="shared" si="42"/>
        <v>-0.96380870918593065</v>
      </c>
      <c r="AB49" s="28">
        <f t="shared" si="43"/>
        <v>0</v>
      </c>
      <c r="AC49" s="28">
        <f t="shared" si="44"/>
        <v>1.3597806269272565</v>
      </c>
      <c r="AD49" s="28">
        <f t="shared" si="45"/>
        <v>-1.3597806269272565</v>
      </c>
      <c r="AE49" s="28">
        <f t="shared" si="46"/>
        <v>0</v>
      </c>
      <c r="AF49" s="28">
        <f t="shared" si="47"/>
        <v>0.27537391691026591</v>
      </c>
      <c r="AG49" s="28">
        <f t="shared" si="48"/>
        <v>-0.27537391691026591</v>
      </c>
      <c r="AH49" s="28">
        <f t="shared" si="49"/>
        <v>0</v>
      </c>
      <c r="AI49" s="28">
        <f t="shared" si="50"/>
        <v>0.12059800083105997</v>
      </c>
      <c r="AJ49" s="28">
        <f t="shared" si="51"/>
        <v>-0.12059800083105997</v>
      </c>
      <c r="AN49" s="64">
        <f>+COUNTIFS(FieldWy!A:A,H49,FieldWy!F:F,"&lt;&gt;")</f>
        <v>0</v>
      </c>
      <c r="AO49" s="86">
        <f t="shared" si="52"/>
        <v>0</v>
      </c>
      <c r="AP49" s="64">
        <f>+COUNTIFS(FieldWy!A:A,H49,FieldWy!F:F,"&lt;&gt;",FieldWy!AA:AA,"true")</f>
        <v>0</v>
      </c>
      <c r="AQ49" s="86">
        <f t="shared" si="53"/>
        <v>0</v>
      </c>
      <c r="AR49" s="64">
        <f>+COUNTIFS(FieldWy!A:A,H49,FieldWy!F:F,"&lt;&gt;",FieldWy!X:X,"PORTABILIDAD")</f>
        <v>0</v>
      </c>
      <c r="AS49" s="64">
        <f t="shared" si="54"/>
        <v>0</v>
      </c>
      <c r="AT49" s="64">
        <f t="shared" si="32"/>
        <v>0</v>
      </c>
      <c r="AU49" s="86">
        <f t="shared" si="55"/>
        <v>0</v>
      </c>
    </row>
    <row r="50" spans="1:47" hidden="1" x14ac:dyDescent="0.2">
      <c r="A50" t="s">
        <v>455</v>
      </c>
      <c r="B50" t="s">
        <v>452</v>
      </c>
      <c r="C50" s="43">
        <v>1</v>
      </c>
      <c r="H50">
        <v>2091711</v>
      </c>
      <c r="I50" t="s">
        <v>416</v>
      </c>
      <c r="J50" t="s">
        <v>468</v>
      </c>
      <c r="K50" s="43" t="s">
        <v>280</v>
      </c>
      <c r="L50" s="66">
        <f t="shared" si="34"/>
        <v>0</v>
      </c>
      <c r="M50" s="77">
        <f>SUM(Altas!E47:AI47)</f>
        <v>0</v>
      </c>
      <c r="N50" s="77">
        <f>VLOOKUP(H50,Cuota!$D:$DU,119,0)</f>
        <v>4.0793418807817705</v>
      </c>
      <c r="O50" s="77">
        <f t="shared" si="35"/>
        <v>-4.0793418807817705</v>
      </c>
      <c r="P50" s="66">
        <f t="shared" si="36"/>
        <v>0</v>
      </c>
      <c r="Q50" s="77">
        <f>+SUM(Altas!E94:AI94)</f>
        <v>0</v>
      </c>
      <c r="R50" s="77">
        <f>VLOOKUP(H50,Tabla2[[#All],[IDPV]:[PP VOZ]],120,0)</f>
        <v>2.3406782937372603</v>
      </c>
      <c r="S50" s="77">
        <f t="shared" si="37"/>
        <v>-2.3406782937372603</v>
      </c>
      <c r="T50" s="66">
        <f t="shared" si="38"/>
        <v>0</v>
      </c>
      <c r="U50" s="78">
        <f>+SUM(Altas!E141:AI141)</f>
        <v>0</v>
      </c>
      <c r="V50" s="77">
        <f>VLOOKUP(H50,Tabla2[[#All],[IDPV]:[PP VOZ]],121,0)</f>
        <v>0.36179400249317989</v>
      </c>
      <c r="W50" s="77">
        <f t="shared" si="39"/>
        <v>-0.36179400249317989</v>
      </c>
      <c r="X50" s="66">
        <f t="shared" si="40"/>
        <v>0</v>
      </c>
      <c r="Y50" s="77">
        <f t="shared" si="41"/>
        <v>0</v>
      </c>
      <c r="Z50" s="77">
        <f>VLOOKUP(H50,Tabla2[[#All],[IDPV]:[PP VOZ]],122,0)</f>
        <v>1.3768695845513301</v>
      </c>
      <c r="AA50" s="77">
        <f t="shared" si="42"/>
        <v>-1.3768695845513301</v>
      </c>
      <c r="AB50" s="28">
        <f t="shared" si="43"/>
        <v>0</v>
      </c>
      <c r="AC50" s="28">
        <f t="shared" si="44"/>
        <v>4.0793418807817705</v>
      </c>
      <c r="AD50" s="28">
        <f t="shared" si="45"/>
        <v>-4.0793418807817705</v>
      </c>
      <c r="AE50" s="28">
        <f t="shared" si="46"/>
        <v>0</v>
      </c>
      <c r="AF50" s="28">
        <f t="shared" si="47"/>
        <v>2.3406782937372603</v>
      </c>
      <c r="AG50" s="28">
        <f t="shared" si="48"/>
        <v>-2.3406782937372603</v>
      </c>
      <c r="AH50" s="28">
        <f t="shared" si="49"/>
        <v>0</v>
      </c>
      <c r="AI50" s="28">
        <f t="shared" si="50"/>
        <v>0.36179400249317989</v>
      </c>
      <c r="AJ50" s="28">
        <f t="shared" si="51"/>
        <v>-0.36179400249317989</v>
      </c>
      <c r="AN50" s="64">
        <f>+COUNTIFS(FieldWy!A:A,H50,FieldWy!F:F,"&lt;&gt;")</f>
        <v>0</v>
      </c>
      <c r="AO50" s="86">
        <f t="shared" si="52"/>
        <v>0</v>
      </c>
      <c r="AP50" s="64">
        <f>+COUNTIFS(FieldWy!A:A,H50,FieldWy!F:F,"&lt;&gt;",FieldWy!AA:AA,"true")</f>
        <v>0</v>
      </c>
      <c r="AQ50" s="86">
        <f t="shared" si="53"/>
        <v>0</v>
      </c>
      <c r="AR50" s="64">
        <f>+COUNTIFS(FieldWy!A:A,H50,FieldWy!F:F,"&lt;&gt;",FieldWy!X:X,"PORTABILIDAD")</f>
        <v>0</v>
      </c>
      <c r="AS50" s="64">
        <f t="shared" si="54"/>
        <v>0</v>
      </c>
      <c r="AT50" s="64">
        <f t="shared" si="32"/>
        <v>0</v>
      </c>
      <c r="AU50" s="86">
        <f t="shared" si="55"/>
        <v>0</v>
      </c>
    </row>
    <row r="51" spans="1:47" x14ac:dyDescent="0.2">
      <c r="A51" s="43" t="s">
        <v>99</v>
      </c>
      <c r="B51" s="43" t="s">
        <v>127</v>
      </c>
      <c r="C51" s="43">
        <v>1</v>
      </c>
      <c r="D51" s="43" t="s">
        <v>543</v>
      </c>
      <c r="E51" s="43" t="s">
        <v>346</v>
      </c>
      <c r="F51" s="43"/>
      <c r="G51" s="43" t="s">
        <v>343</v>
      </c>
      <c r="H51" s="43">
        <v>2091864</v>
      </c>
      <c r="I51" s="43" t="s">
        <v>109</v>
      </c>
      <c r="J51" s="43" t="s">
        <v>35</v>
      </c>
      <c r="K51" s="43" t="s">
        <v>7</v>
      </c>
      <c r="L51" s="66">
        <f t="shared" si="34"/>
        <v>0</v>
      </c>
      <c r="M51" s="77">
        <f>SUM(Altas!E48:AI48)</f>
        <v>0</v>
      </c>
      <c r="N51" s="77">
        <f>VLOOKUP(H51,Cuota!$D:$DU,119,0)</f>
        <v>1.6351545438375223</v>
      </c>
      <c r="O51" s="77">
        <f t="shared" si="35"/>
        <v>-1.6351545438375223</v>
      </c>
      <c r="P51" s="66">
        <f t="shared" si="36"/>
        <v>0</v>
      </c>
      <c r="Q51" s="77">
        <f>+SUM(Altas!E95:AI95)</f>
        <v>0</v>
      </c>
      <c r="R51" s="77">
        <f>VLOOKUP(H51,Tabla2[[#All],[IDPV]:[PP VOZ]],120,0)</f>
        <v>0.96380870918593065</v>
      </c>
      <c r="S51" s="77">
        <f t="shared" si="37"/>
        <v>-0.96380870918593065</v>
      </c>
      <c r="T51" s="66">
        <f t="shared" si="38"/>
        <v>0</v>
      </c>
      <c r="U51" s="78">
        <f>+SUM(Altas!E142:AI142)</f>
        <v>0</v>
      </c>
      <c r="V51" s="77">
        <f>VLOOKUP(H51,Tabla2[[#All],[IDPV]:[PP VOZ]],121,0)</f>
        <v>0.12059800083105997</v>
      </c>
      <c r="W51" s="77">
        <f t="shared" si="39"/>
        <v>-0.12059800083105997</v>
      </c>
      <c r="X51" s="66">
        <f t="shared" si="40"/>
        <v>0</v>
      </c>
      <c r="Y51" s="77">
        <f t="shared" si="41"/>
        <v>0</v>
      </c>
      <c r="Z51" s="77">
        <f>VLOOKUP(H51,Tabla2[[#All],[IDPV]:[PP VOZ]],122,0)</f>
        <v>0.55074783382053183</v>
      </c>
      <c r="AA51" s="77">
        <f t="shared" si="42"/>
        <v>-0.55074783382053183</v>
      </c>
      <c r="AB51" s="28">
        <f t="shared" si="43"/>
        <v>0</v>
      </c>
      <c r="AC51" s="28">
        <f t="shared" si="44"/>
        <v>1.6351545438375223</v>
      </c>
      <c r="AD51" s="28">
        <f t="shared" si="45"/>
        <v>-1.6351545438375223</v>
      </c>
      <c r="AE51" s="28">
        <f t="shared" si="46"/>
        <v>0</v>
      </c>
      <c r="AF51" s="28">
        <f t="shared" si="47"/>
        <v>0.96380870918593065</v>
      </c>
      <c r="AG51" s="28">
        <f t="shared" si="48"/>
        <v>-0.96380870918593065</v>
      </c>
      <c r="AH51" s="28">
        <f t="shared" si="49"/>
        <v>0</v>
      </c>
      <c r="AI51" s="28">
        <f t="shared" si="50"/>
        <v>0.12059800083105997</v>
      </c>
      <c r="AJ51" s="28">
        <f t="shared" si="51"/>
        <v>-0.12059800083105997</v>
      </c>
      <c r="AK51" s="28" t="e">
        <f>+Y51/#REF!</f>
        <v>#REF!</v>
      </c>
      <c r="AL51" s="28" t="e">
        <f>+Z51/#REF!</f>
        <v>#REF!</v>
      </c>
      <c r="AM51" s="28" t="e">
        <f>+AK51-AL51</f>
        <v>#REF!</v>
      </c>
      <c r="AN51" s="64">
        <f>+COUNTIFS(FieldWy!A:A,H51,FieldWy!F:F,"&lt;&gt;")</f>
        <v>0</v>
      </c>
      <c r="AO51" s="86">
        <f t="shared" si="52"/>
        <v>0</v>
      </c>
      <c r="AP51" s="64">
        <f>+COUNTIFS(FieldWy!A:A,H51,FieldWy!F:F,"&lt;&gt;",FieldWy!AA:AA,"true")</f>
        <v>0</v>
      </c>
      <c r="AQ51" s="86">
        <f t="shared" si="53"/>
        <v>0</v>
      </c>
      <c r="AR51" s="64">
        <f>+COUNTIFS(FieldWy!A:A,H51,FieldWy!F:F,"&lt;&gt;",FieldWy!X:X,"PORTABILIDAD")</f>
        <v>0</v>
      </c>
      <c r="AS51" s="64">
        <f t="shared" si="54"/>
        <v>0</v>
      </c>
      <c r="AT51" s="64">
        <f t="shared" si="32"/>
        <v>0</v>
      </c>
      <c r="AU51" s="86">
        <f t="shared" si="55"/>
        <v>0</v>
      </c>
    </row>
    <row r="52" spans="1:47" x14ac:dyDescent="0.2">
      <c r="A52" s="43" t="s">
        <v>99</v>
      </c>
      <c r="B52" s="43" t="s">
        <v>127</v>
      </c>
      <c r="C52" s="43">
        <v>1</v>
      </c>
      <c r="D52" s="43" t="s">
        <v>543</v>
      </c>
      <c r="E52" s="43" t="s">
        <v>347</v>
      </c>
      <c r="F52" s="43"/>
      <c r="G52" s="43" t="s">
        <v>343</v>
      </c>
      <c r="H52" s="43">
        <v>2091869</v>
      </c>
      <c r="I52" s="43" t="s">
        <v>110</v>
      </c>
      <c r="J52" s="43" t="s">
        <v>35</v>
      </c>
      <c r="K52" s="43" t="s">
        <v>5</v>
      </c>
      <c r="L52" s="66">
        <f t="shared" si="34"/>
        <v>0</v>
      </c>
      <c r="M52" s="77">
        <f>SUM(Altas!E49:AI49)</f>
        <v>0</v>
      </c>
      <c r="N52" s="77">
        <f>VLOOKUP(H52,Cuota!$D:$DU,119,0)</f>
        <v>1.3597806269272565</v>
      </c>
      <c r="O52" s="77">
        <f t="shared" si="35"/>
        <v>-1.3597806269272565</v>
      </c>
      <c r="P52" s="66">
        <f t="shared" si="36"/>
        <v>0</v>
      </c>
      <c r="Q52" s="77">
        <f>+SUM(Altas!E96:AI96)</f>
        <v>0</v>
      </c>
      <c r="R52" s="77">
        <f>VLOOKUP(H52,Tabla2[[#All],[IDPV]:[PP VOZ]],120,0)</f>
        <v>0.68843479227566484</v>
      </c>
      <c r="S52" s="77">
        <f t="shared" si="37"/>
        <v>-0.68843479227566484</v>
      </c>
      <c r="T52" s="66">
        <f t="shared" si="38"/>
        <v>0</v>
      </c>
      <c r="U52" s="78">
        <f>+SUM(Altas!E143:AI143)</f>
        <v>0</v>
      </c>
      <c r="V52" s="77">
        <f>VLOOKUP(H52,Tabla2[[#All],[IDPV]:[PP VOZ]],121,0)</f>
        <v>0.12059800083105997</v>
      </c>
      <c r="W52" s="77">
        <f t="shared" si="39"/>
        <v>-0.12059800083105997</v>
      </c>
      <c r="X52" s="66">
        <f t="shared" si="40"/>
        <v>0</v>
      </c>
      <c r="Y52" s="77">
        <f t="shared" si="41"/>
        <v>0</v>
      </c>
      <c r="Z52" s="77">
        <f>VLOOKUP(H52,Tabla2[[#All],[IDPV]:[PP VOZ]],122,0)</f>
        <v>0.55074783382053172</v>
      </c>
      <c r="AA52" s="77">
        <f t="shared" si="42"/>
        <v>-0.55074783382053172</v>
      </c>
      <c r="AB52" s="28">
        <f t="shared" si="43"/>
        <v>0</v>
      </c>
      <c r="AC52" s="28">
        <f t="shared" si="44"/>
        <v>1.3597806269272565</v>
      </c>
      <c r="AD52" s="28">
        <f t="shared" si="45"/>
        <v>-1.3597806269272565</v>
      </c>
      <c r="AE52" s="28">
        <f t="shared" si="46"/>
        <v>0</v>
      </c>
      <c r="AF52" s="28">
        <f t="shared" si="47"/>
        <v>0.68843479227566484</v>
      </c>
      <c r="AG52" s="28">
        <f t="shared" si="48"/>
        <v>-0.68843479227566484</v>
      </c>
      <c r="AH52" s="28">
        <f t="shared" si="49"/>
        <v>0</v>
      </c>
      <c r="AI52" s="28">
        <f t="shared" si="50"/>
        <v>0.12059800083105997</v>
      </c>
      <c r="AJ52" s="28">
        <f t="shared" si="51"/>
        <v>-0.12059800083105997</v>
      </c>
      <c r="AK52" s="28" t="e">
        <f>+Y52/#REF!</f>
        <v>#REF!</v>
      </c>
      <c r="AL52" s="28" t="e">
        <f>+Z52/#REF!</f>
        <v>#REF!</v>
      </c>
      <c r="AM52" s="28" t="e">
        <f>+AK52-AL52</f>
        <v>#REF!</v>
      </c>
      <c r="AN52" s="64">
        <f>+COUNTIFS(FieldWy!A:A,H52,FieldWy!F:F,"&lt;&gt;")</f>
        <v>0</v>
      </c>
      <c r="AO52" s="86">
        <f t="shared" si="52"/>
        <v>0</v>
      </c>
      <c r="AP52" s="64">
        <f>+COUNTIFS(FieldWy!A:A,H52,FieldWy!F:F,"&lt;&gt;",FieldWy!AA:AA,"true")</f>
        <v>0</v>
      </c>
      <c r="AQ52" s="86">
        <f t="shared" si="53"/>
        <v>0</v>
      </c>
      <c r="AR52" s="64">
        <f>+COUNTIFS(FieldWy!A:A,H52,FieldWy!F:F,"&lt;&gt;",FieldWy!X:X,"PORTABILIDAD")</f>
        <v>0</v>
      </c>
      <c r="AS52" s="64">
        <f t="shared" si="54"/>
        <v>0</v>
      </c>
      <c r="AT52" s="64">
        <f t="shared" si="32"/>
        <v>0</v>
      </c>
      <c r="AU52" s="86">
        <f t="shared" si="55"/>
        <v>0</v>
      </c>
    </row>
    <row r="53" spans="1:47" hidden="1" x14ac:dyDescent="0.2">
      <c r="A53" t="s">
        <v>454</v>
      </c>
      <c r="B53" t="s">
        <v>450</v>
      </c>
      <c r="C53" s="43">
        <v>1</v>
      </c>
      <c r="H53">
        <v>2091896</v>
      </c>
      <c r="I53" t="s">
        <v>417</v>
      </c>
      <c r="J53" t="s">
        <v>460</v>
      </c>
      <c r="K53" s="43" t="s">
        <v>281</v>
      </c>
      <c r="L53" s="66">
        <f t="shared" si="34"/>
        <v>0</v>
      </c>
      <c r="M53" s="77">
        <f>SUM(Altas!E50:AI50)</f>
        <v>0</v>
      </c>
      <c r="N53" s="77">
        <f>VLOOKUP(H53,Cuota!$D:$DU,119,0)</f>
        <v>1.2391826260961967</v>
      </c>
      <c r="O53" s="77">
        <f t="shared" si="35"/>
        <v>-1.2391826260961967</v>
      </c>
      <c r="P53" s="66">
        <f t="shared" si="36"/>
        <v>0</v>
      </c>
      <c r="Q53" s="77">
        <f>+SUM(Altas!E97:AI97)</f>
        <v>0</v>
      </c>
      <c r="R53" s="77">
        <f>VLOOKUP(H53,Tabla2[[#All],[IDPV]:[PP VOZ]],120,0)</f>
        <v>0.27537391691026591</v>
      </c>
      <c r="S53" s="77">
        <f t="shared" si="37"/>
        <v>-0.27537391691026591</v>
      </c>
      <c r="T53" s="66">
        <f t="shared" si="38"/>
        <v>0</v>
      </c>
      <c r="U53" s="78">
        <f>+SUM(Altas!E144:AI144)</f>
        <v>0</v>
      </c>
      <c r="V53" s="77">
        <f>VLOOKUP(H53,Tabla2[[#All],[IDPV]:[PP VOZ]],121,0)</f>
        <v>0</v>
      </c>
      <c r="W53" s="77">
        <f t="shared" si="39"/>
        <v>0</v>
      </c>
      <c r="X53" s="66">
        <f t="shared" si="40"/>
        <v>0</v>
      </c>
      <c r="Y53" s="77">
        <f t="shared" si="41"/>
        <v>0</v>
      </c>
      <c r="Z53" s="77">
        <f>VLOOKUP(H53,Tabla2[[#All],[IDPV]:[PP VOZ]],122,0)</f>
        <v>0.96380870918593076</v>
      </c>
      <c r="AA53" s="77">
        <f t="shared" si="42"/>
        <v>-0.96380870918593076</v>
      </c>
      <c r="AB53" s="28">
        <f t="shared" si="43"/>
        <v>0</v>
      </c>
      <c r="AC53" s="28">
        <f t="shared" si="44"/>
        <v>1.2391826260961967</v>
      </c>
      <c r="AD53" s="28">
        <f t="shared" si="45"/>
        <v>-1.2391826260961967</v>
      </c>
      <c r="AE53" s="28">
        <f t="shared" si="46"/>
        <v>0</v>
      </c>
      <c r="AF53" s="28">
        <f t="shared" si="47"/>
        <v>0.27537391691026591</v>
      </c>
      <c r="AG53" s="28">
        <f t="shared" si="48"/>
        <v>-0.27537391691026591</v>
      </c>
      <c r="AH53" s="28">
        <f t="shared" si="49"/>
        <v>0</v>
      </c>
      <c r="AI53" s="28">
        <f t="shared" si="50"/>
        <v>0</v>
      </c>
      <c r="AJ53" s="28">
        <f t="shared" si="51"/>
        <v>0</v>
      </c>
      <c r="AN53" s="64">
        <f>+COUNTIFS(FieldWy!A:A,H53,FieldWy!F:F,"&lt;&gt;")</f>
        <v>0</v>
      </c>
      <c r="AO53" s="86">
        <f t="shared" si="52"/>
        <v>0</v>
      </c>
      <c r="AP53" s="64">
        <f>+COUNTIFS(FieldWy!A:A,H53,FieldWy!F:F,"&lt;&gt;",FieldWy!AA:AA,"true")</f>
        <v>0</v>
      </c>
      <c r="AQ53" s="86">
        <f t="shared" si="53"/>
        <v>0</v>
      </c>
      <c r="AR53" s="64">
        <f>+COUNTIFS(FieldWy!A:A,H53,FieldWy!F:F,"&lt;&gt;",FieldWy!X:X,"PORTABILIDAD")</f>
        <v>0</v>
      </c>
      <c r="AS53" s="64">
        <f t="shared" si="54"/>
        <v>0</v>
      </c>
      <c r="AT53" s="64">
        <f t="shared" si="32"/>
        <v>0</v>
      </c>
      <c r="AU53" s="86">
        <f t="shared" si="55"/>
        <v>0</v>
      </c>
    </row>
    <row r="54" spans="1:47" x14ac:dyDescent="0.2">
      <c r="A54" s="43" t="s">
        <v>99</v>
      </c>
      <c r="B54" s="43" t="s">
        <v>125</v>
      </c>
      <c r="C54" s="43">
        <v>1</v>
      </c>
      <c r="D54" s="43" t="s">
        <v>544</v>
      </c>
      <c r="E54" s="43"/>
      <c r="F54" s="43"/>
      <c r="G54" s="43" t="s">
        <v>343</v>
      </c>
      <c r="H54" s="43">
        <v>2092138</v>
      </c>
      <c r="I54" s="43" t="s">
        <v>111</v>
      </c>
      <c r="J54" s="43" t="s">
        <v>23</v>
      </c>
      <c r="K54" s="43" t="s">
        <v>7</v>
      </c>
      <c r="L54" s="66">
        <f t="shared" si="34"/>
        <v>0</v>
      </c>
      <c r="M54" s="77">
        <f>SUM(Altas!E51:AI51)</f>
        <v>0</v>
      </c>
      <c r="N54" s="77">
        <f>VLOOKUP(H54,Cuota!$D:$DU,119,0)</f>
        <v>1.3597806269272565</v>
      </c>
      <c r="O54" s="77">
        <f t="shared" si="35"/>
        <v>-1.3597806269272565</v>
      </c>
      <c r="P54" s="66">
        <f t="shared" si="36"/>
        <v>0</v>
      </c>
      <c r="Q54" s="77">
        <f>+SUM(Altas!E98:AI98)</f>
        <v>0</v>
      </c>
      <c r="R54" s="77">
        <f>VLOOKUP(H54,Tabla2[[#All],[IDPV]:[PP VOZ]],120,0)</f>
        <v>0.67134583465159181</v>
      </c>
      <c r="S54" s="77">
        <f t="shared" si="37"/>
        <v>-0.67134583465159181</v>
      </c>
      <c r="T54" s="66">
        <f t="shared" si="38"/>
        <v>0</v>
      </c>
      <c r="U54" s="78">
        <f>+SUM(Altas!E145:AI145)</f>
        <v>0</v>
      </c>
      <c r="V54" s="77">
        <f>VLOOKUP(H54,Tabla2[[#All],[IDPV]:[PP VOZ]],121,0)</f>
        <v>0.12059800083105997</v>
      </c>
      <c r="W54" s="77">
        <f t="shared" si="39"/>
        <v>-0.12059800083105997</v>
      </c>
      <c r="X54" s="66">
        <f t="shared" si="40"/>
        <v>0</v>
      </c>
      <c r="Y54" s="77">
        <f t="shared" si="41"/>
        <v>0</v>
      </c>
      <c r="Z54" s="77">
        <f>VLOOKUP(H54,Tabla2[[#All],[IDPV]:[PP VOZ]],122,0)</f>
        <v>0.56783679144460475</v>
      </c>
      <c r="AA54" s="77">
        <f t="shared" si="42"/>
        <v>-0.56783679144460475</v>
      </c>
      <c r="AB54" s="28">
        <f t="shared" si="43"/>
        <v>0</v>
      </c>
      <c r="AC54" s="28">
        <f t="shared" si="44"/>
        <v>1.3597806269272565</v>
      </c>
      <c r="AD54" s="28">
        <f t="shared" si="45"/>
        <v>-1.3597806269272565</v>
      </c>
      <c r="AE54" s="28">
        <f t="shared" si="46"/>
        <v>0</v>
      </c>
      <c r="AF54" s="28">
        <f t="shared" si="47"/>
        <v>0.67134583465159181</v>
      </c>
      <c r="AG54" s="28">
        <f t="shared" si="48"/>
        <v>-0.67134583465159181</v>
      </c>
      <c r="AH54" s="28">
        <f t="shared" si="49"/>
        <v>0</v>
      </c>
      <c r="AI54" s="28">
        <f t="shared" si="50"/>
        <v>0.12059800083105997</v>
      </c>
      <c r="AJ54" s="28">
        <f t="shared" si="51"/>
        <v>-0.12059800083105997</v>
      </c>
      <c r="AK54" s="28" t="e">
        <f>+Y54/#REF!</f>
        <v>#REF!</v>
      </c>
      <c r="AL54" s="28" t="e">
        <f>+Z54/#REF!</f>
        <v>#REF!</v>
      </c>
      <c r="AM54" s="28" t="e">
        <f>+AK54-AL54</f>
        <v>#REF!</v>
      </c>
      <c r="AN54" s="64">
        <f>+COUNTIFS(FieldWy!A:A,H54,FieldWy!F:F,"&lt;&gt;")</f>
        <v>0</v>
      </c>
      <c r="AO54" s="86">
        <f t="shared" si="52"/>
        <v>0</v>
      </c>
      <c r="AP54" s="64">
        <f>+COUNTIFS(FieldWy!A:A,H54,FieldWy!F:F,"&lt;&gt;",FieldWy!AA:AA,"true")</f>
        <v>0</v>
      </c>
      <c r="AQ54" s="86">
        <f t="shared" si="53"/>
        <v>0</v>
      </c>
      <c r="AR54" s="64">
        <f>+COUNTIFS(FieldWy!A:A,H54,FieldWy!F:F,"&lt;&gt;",FieldWy!X:X,"PORTABILIDAD")</f>
        <v>0</v>
      </c>
      <c r="AS54" s="64">
        <f t="shared" si="54"/>
        <v>0</v>
      </c>
      <c r="AT54" s="64">
        <f t="shared" si="32"/>
        <v>0</v>
      </c>
      <c r="AU54" s="86">
        <f t="shared" si="55"/>
        <v>0</v>
      </c>
    </row>
    <row r="55" spans="1:47" hidden="1" x14ac:dyDescent="0.2">
      <c r="A55" t="s">
        <v>455</v>
      </c>
      <c r="B55" t="s">
        <v>450</v>
      </c>
      <c r="C55" s="43">
        <v>1</v>
      </c>
      <c r="H55">
        <v>2092175</v>
      </c>
      <c r="I55" t="s">
        <v>418</v>
      </c>
      <c r="J55" t="s">
        <v>460</v>
      </c>
      <c r="K55" s="43" t="s">
        <v>281</v>
      </c>
      <c r="L55" s="66">
        <f t="shared" si="34"/>
        <v>0</v>
      </c>
      <c r="M55" s="77">
        <f>SUM(Altas!E52:AI52)</f>
        <v>0</v>
      </c>
      <c r="N55" s="77">
        <f>VLOOKUP(H55,Cuota!$D:$DU,119,0)</f>
        <v>1.3597806269272565</v>
      </c>
      <c r="O55" s="77">
        <f t="shared" si="35"/>
        <v>-1.3597806269272565</v>
      </c>
      <c r="P55" s="66">
        <f t="shared" si="36"/>
        <v>0</v>
      </c>
      <c r="Q55" s="77">
        <f>+SUM(Altas!E99:AI99)</f>
        <v>0</v>
      </c>
      <c r="R55" s="77">
        <f>VLOOKUP(H55,Tabla2[[#All],[IDPV]:[PP VOZ]],120,0)</f>
        <v>0.82612175073079774</v>
      </c>
      <c r="S55" s="77">
        <f t="shared" si="37"/>
        <v>-0.82612175073079774</v>
      </c>
      <c r="T55" s="66">
        <f t="shared" si="38"/>
        <v>0</v>
      </c>
      <c r="U55" s="78">
        <f>+SUM(Altas!E146:AI146)</f>
        <v>0</v>
      </c>
      <c r="V55" s="77">
        <f>VLOOKUP(H55,Tabla2[[#All],[IDPV]:[PP VOZ]],121,0)</f>
        <v>0.12059800083105997</v>
      </c>
      <c r="W55" s="77">
        <f t="shared" si="39"/>
        <v>-0.12059800083105997</v>
      </c>
      <c r="X55" s="66">
        <f t="shared" si="40"/>
        <v>0</v>
      </c>
      <c r="Y55" s="77">
        <f t="shared" si="41"/>
        <v>0</v>
      </c>
      <c r="Z55" s="77">
        <f>VLOOKUP(H55,Tabla2[[#All],[IDPV]:[PP VOZ]],122,0)</f>
        <v>0.41306087536539882</v>
      </c>
      <c r="AA55" s="77">
        <f t="shared" si="42"/>
        <v>-0.41306087536539882</v>
      </c>
      <c r="AB55" s="28">
        <f t="shared" si="43"/>
        <v>0</v>
      </c>
      <c r="AC55" s="28">
        <f t="shared" si="44"/>
        <v>1.3597806269272565</v>
      </c>
      <c r="AD55" s="28">
        <f t="shared" si="45"/>
        <v>-1.3597806269272565</v>
      </c>
      <c r="AE55" s="28">
        <f t="shared" si="46"/>
        <v>0</v>
      </c>
      <c r="AF55" s="28">
        <f t="shared" si="47"/>
        <v>0.82612175073079774</v>
      </c>
      <c r="AG55" s="28">
        <f t="shared" si="48"/>
        <v>-0.82612175073079774</v>
      </c>
      <c r="AH55" s="28">
        <f t="shared" si="49"/>
        <v>0</v>
      </c>
      <c r="AI55" s="28">
        <f t="shared" si="50"/>
        <v>0.12059800083105997</v>
      </c>
      <c r="AJ55" s="28">
        <f t="shared" si="51"/>
        <v>-0.12059800083105997</v>
      </c>
      <c r="AN55" s="64">
        <f>+COUNTIFS(FieldWy!A:A,H55,FieldWy!F:F,"&lt;&gt;")</f>
        <v>0</v>
      </c>
      <c r="AO55" s="86">
        <f t="shared" si="52"/>
        <v>0</v>
      </c>
      <c r="AP55" s="64">
        <f>+COUNTIFS(FieldWy!A:A,H55,FieldWy!F:F,"&lt;&gt;",FieldWy!AA:AA,"true")</f>
        <v>0</v>
      </c>
      <c r="AQ55" s="86">
        <f t="shared" si="53"/>
        <v>0</v>
      </c>
      <c r="AR55" s="64">
        <f>+COUNTIFS(FieldWy!A:A,H55,FieldWy!F:F,"&lt;&gt;",FieldWy!X:X,"PORTABILIDAD")</f>
        <v>0</v>
      </c>
      <c r="AS55" s="64">
        <f t="shared" si="54"/>
        <v>0</v>
      </c>
      <c r="AT55" s="64">
        <f t="shared" si="32"/>
        <v>0</v>
      </c>
      <c r="AU55" s="86">
        <f t="shared" si="55"/>
        <v>0</v>
      </c>
    </row>
    <row r="56" spans="1:47" x14ac:dyDescent="0.2">
      <c r="A56" s="43" t="s">
        <v>124</v>
      </c>
      <c r="B56" s="43" t="s">
        <v>125</v>
      </c>
      <c r="C56" s="43">
        <v>1</v>
      </c>
      <c r="D56" s="43" t="s">
        <v>382</v>
      </c>
      <c r="E56" s="43"/>
      <c r="F56" s="43"/>
      <c r="G56" s="43" t="s">
        <v>324</v>
      </c>
      <c r="H56" s="43">
        <v>2092192</v>
      </c>
      <c r="I56" s="43" t="s">
        <v>112</v>
      </c>
      <c r="J56" s="43" t="s">
        <v>17</v>
      </c>
      <c r="K56" s="43" t="s">
        <v>47</v>
      </c>
      <c r="L56" s="66">
        <f t="shared" si="34"/>
        <v>0</v>
      </c>
      <c r="M56" s="77">
        <f>SUM(Altas!E53:AI53)</f>
        <v>0</v>
      </c>
      <c r="N56" s="77">
        <f>VLOOKUP(H56,Cuota!$D:$DU,119,0)</f>
        <v>2.0482154192029212</v>
      </c>
      <c r="O56" s="77">
        <f t="shared" si="35"/>
        <v>-2.0482154192029212</v>
      </c>
      <c r="P56" s="66">
        <f t="shared" si="36"/>
        <v>0</v>
      </c>
      <c r="Q56" s="77">
        <f>+SUM(Altas!E100:AI100)</f>
        <v>0</v>
      </c>
      <c r="R56" s="77">
        <f>VLOOKUP(H56,Tabla2[[#All],[IDPV]:[PP VOZ]],120,0)</f>
        <v>0.96380870918593065</v>
      </c>
      <c r="S56" s="77">
        <f t="shared" si="37"/>
        <v>-0.96380870918593065</v>
      </c>
      <c r="T56" s="66">
        <f t="shared" si="38"/>
        <v>0</v>
      </c>
      <c r="U56" s="78">
        <f>+SUM(Altas!E147:AI147)</f>
        <v>0</v>
      </c>
      <c r="V56" s="77">
        <f>VLOOKUP(H56,Tabla2[[#All],[IDPV]:[PP VOZ]],121,0)</f>
        <v>0.12059800083105997</v>
      </c>
      <c r="W56" s="77">
        <f t="shared" si="39"/>
        <v>-0.12059800083105997</v>
      </c>
      <c r="X56" s="66">
        <f t="shared" si="40"/>
        <v>0</v>
      </c>
      <c r="Y56" s="77">
        <f t="shared" si="41"/>
        <v>0</v>
      </c>
      <c r="Z56" s="77">
        <f>VLOOKUP(H56,Tabla2[[#All],[IDPV]:[PP VOZ]],122,0)</f>
        <v>0.96380870918593065</v>
      </c>
      <c r="AA56" s="77">
        <f t="shared" si="42"/>
        <v>-0.96380870918593065</v>
      </c>
      <c r="AB56" s="28">
        <f t="shared" si="43"/>
        <v>0</v>
      </c>
      <c r="AC56" s="28">
        <f t="shared" si="44"/>
        <v>2.0482154192029212</v>
      </c>
      <c r="AD56" s="28">
        <f t="shared" si="45"/>
        <v>-2.0482154192029212</v>
      </c>
      <c r="AE56" s="28">
        <f t="shared" si="46"/>
        <v>0</v>
      </c>
      <c r="AF56" s="28">
        <f t="shared" si="47"/>
        <v>0.96380870918593065</v>
      </c>
      <c r="AG56" s="28">
        <f t="shared" si="48"/>
        <v>-0.96380870918593065</v>
      </c>
      <c r="AH56" s="28">
        <f t="shared" si="49"/>
        <v>0</v>
      </c>
      <c r="AI56" s="28">
        <f t="shared" si="50"/>
        <v>0.12059800083105997</v>
      </c>
      <c r="AJ56" s="28">
        <f t="shared" si="51"/>
        <v>-0.12059800083105997</v>
      </c>
      <c r="AK56" s="28" t="e">
        <f>+Y56/#REF!</f>
        <v>#REF!</v>
      </c>
      <c r="AL56" s="28" t="e">
        <f>+Z56/#REF!</f>
        <v>#REF!</v>
      </c>
      <c r="AM56" s="28" t="e">
        <f>+AK56-AL56</f>
        <v>#REF!</v>
      </c>
      <c r="AN56" s="64">
        <f>+COUNTIFS(FieldWy!A:A,H56,FieldWy!F:F,"&lt;&gt;")</f>
        <v>0</v>
      </c>
      <c r="AO56" s="86">
        <f t="shared" si="52"/>
        <v>0</v>
      </c>
      <c r="AP56" s="64">
        <f>+COUNTIFS(FieldWy!A:A,H56,FieldWy!F:F,"&lt;&gt;",FieldWy!AA:AA,"true")</f>
        <v>0</v>
      </c>
      <c r="AQ56" s="86">
        <f t="shared" si="53"/>
        <v>0</v>
      </c>
      <c r="AR56" s="64">
        <f>+COUNTIFS(FieldWy!A:A,H56,FieldWy!F:F,"&lt;&gt;",FieldWy!X:X,"PORTABILIDAD")</f>
        <v>0</v>
      </c>
      <c r="AS56" s="64">
        <f t="shared" si="54"/>
        <v>0</v>
      </c>
      <c r="AT56" s="64">
        <f t="shared" si="32"/>
        <v>0</v>
      </c>
      <c r="AU56" s="86">
        <f t="shared" si="55"/>
        <v>0</v>
      </c>
    </row>
    <row r="57" spans="1:47" hidden="1" x14ac:dyDescent="0.2">
      <c r="A57" t="s">
        <v>455</v>
      </c>
      <c r="B57" t="s">
        <v>451</v>
      </c>
      <c r="C57" s="43">
        <v>1</v>
      </c>
      <c r="H57">
        <v>2092219</v>
      </c>
      <c r="I57" t="s">
        <v>419</v>
      </c>
      <c r="J57" t="s">
        <v>460</v>
      </c>
      <c r="K57" s="43" t="s">
        <v>282</v>
      </c>
      <c r="L57" s="66">
        <f t="shared" si="34"/>
        <v>0</v>
      </c>
      <c r="M57" s="77">
        <f>SUM(Altas!E54:AI54)</f>
        <v>0</v>
      </c>
      <c r="N57" s="77">
        <f>VLOOKUP(H57,Cuota!$D:$DU,119,0)</f>
        <v>1.3597806269272565</v>
      </c>
      <c r="O57" s="77">
        <f t="shared" si="35"/>
        <v>-1.3597806269272565</v>
      </c>
      <c r="P57" s="66">
        <f t="shared" si="36"/>
        <v>0</v>
      </c>
      <c r="Q57" s="77">
        <f>+SUM(Altas!E101:AI101)</f>
        <v>0</v>
      </c>
      <c r="R57" s="77">
        <f>VLOOKUP(H57,Tabla2[[#All],[IDPV]:[PP VOZ]],120,0)</f>
        <v>0.5336588761964588</v>
      </c>
      <c r="S57" s="77">
        <f t="shared" si="37"/>
        <v>-0.5336588761964588</v>
      </c>
      <c r="T57" s="66">
        <f t="shared" si="38"/>
        <v>0</v>
      </c>
      <c r="U57" s="78">
        <f>+SUM(Altas!E148:AI148)</f>
        <v>0</v>
      </c>
      <c r="V57" s="77">
        <f>VLOOKUP(H57,Tabla2[[#All],[IDPV]:[PP VOZ]],121,0)</f>
        <v>0.12059800083105997</v>
      </c>
      <c r="W57" s="77">
        <f t="shared" si="39"/>
        <v>-0.12059800083105997</v>
      </c>
      <c r="X57" s="66">
        <f t="shared" si="40"/>
        <v>0</v>
      </c>
      <c r="Y57" s="77">
        <f t="shared" si="41"/>
        <v>0</v>
      </c>
      <c r="Z57" s="77">
        <f>VLOOKUP(H57,Tabla2[[#All],[IDPV]:[PP VOZ]],122,0)</f>
        <v>0.70552374989973776</v>
      </c>
      <c r="AA57" s="77">
        <f t="shared" si="42"/>
        <v>-0.70552374989973776</v>
      </c>
      <c r="AB57" s="28">
        <f t="shared" si="43"/>
        <v>0</v>
      </c>
      <c r="AC57" s="28">
        <f t="shared" si="44"/>
        <v>1.3597806269272565</v>
      </c>
      <c r="AD57" s="28">
        <f t="shared" si="45"/>
        <v>-1.3597806269272565</v>
      </c>
      <c r="AE57" s="28">
        <f t="shared" si="46"/>
        <v>0</v>
      </c>
      <c r="AF57" s="28">
        <f t="shared" si="47"/>
        <v>0.5336588761964588</v>
      </c>
      <c r="AG57" s="28">
        <f t="shared" si="48"/>
        <v>-0.5336588761964588</v>
      </c>
      <c r="AH57" s="28">
        <f t="shared" si="49"/>
        <v>0</v>
      </c>
      <c r="AI57" s="28">
        <f t="shared" si="50"/>
        <v>0.12059800083105997</v>
      </c>
      <c r="AJ57" s="28">
        <f t="shared" si="51"/>
        <v>-0.12059800083105997</v>
      </c>
      <c r="AN57" s="64">
        <f>+COUNTIFS(FieldWy!A:A,H57,FieldWy!F:F,"&lt;&gt;")</f>
        <v>0</v>
      </c>
      <c r="AO57" s="86">
        <f t="shared" si="52"/>
        <v>0</v>
      </c>
      <c r="AP57" s="64">
        <f>+COUNTIFS(FieldWy!A:A,H57,FieldWy!F:F,"&lt;&gt;",FieldWy!AA:AA,"true")</f>
        <v>0</v>
      </c>
      <c r="AQ57" s="86">
        <f t="shared" si="53"/>
        <v>0</v>
      </c>
      <c r="AR57" s="64">
        <f>+COUNTIFS(FieldWy!A:A,H57,FieldWy!F:F,"&lt;&gt;",FieldWy!X:X,"PORTABILIDAD")</f>
        <v>0</v>
      </c>
      <c r="AS57" s="64">
        <f t="shared" si="54"/>
        <v>0</v>
      </c>
      <c r="AT57" s="64">
        <f t="shared" si="32"/>
        <v>0</v>
      </c>
      <c r="AU57" s="86">
        <f t="shared" si="55"/>
        <v>0</v>
      </c>
    </row>
    <row r="58" spans="1:47" hidden="1" x14ac:dyDescent="0.2">
      <c r="A58" t="s">
        <v>455</v>
      </c>
      <c r="B58" t="s">
        <v>450</v>
      </c>
      <c r="C58" s="43">
        <v>1</v>
      </c>
      <c r="H58">
        <v>2092308</v>
      </c>
      <c r="I58" t="s">
        <v>420</v>
      </c>
      <c r="J58" t="s">
        <v>462</v>
      </c>
      <c r="K58" s="43" t="s">
        <v>281</v>
      </c>
      <c r="L58" s="66">
        <f t="shared" si="34"/>
        <v>0</v>
      </c>
      <c r="M58" s="77">
        <f>SUM(Altas!E55:AI55)</f>
        <v>0</v>
      </c>
      <c r="N58" s="77">
        <f>VLOOKUP(H58,Cuota!$D:$DU,119,0)</f>
        <v>1.3597806269272565</v>
      </c>
      <c r="O58" s="77">
        <f t="shared" si="35"/>
        <v>-1.3597806269272565</v>
      </c>
      <c r="P58" s="66">
        <f t="shared" si="36"/>
        <v>0</v>
      </c>
      <c r="Q58" s="77">
        <f>+SUM(Altas!E102:AI102)</f>
        <v>0</v>
      </c>
      <c r="R58" s="77">
        <f>VLOOKUP(H58,Tabla2[[#All],[IDPV]:[PP VOZ]],120,0)</f>
        <v>0.27537391691026591</v>
      </c>
      <c r="S58" s="77">
        <f t="shared" si="37"/>
        <v>-0.27537391691026591</v>
      </c>
      <c r="T58" s="66">
        <f t="shared" si="38"/>
        <v>0</v>
      </c>
      <c r="U58" s="78">
        <f>+SUM(Altas!E149:AI149)</f>
        <v>0</v>
      </c>
      <c r="V58" s="77">
        <f>VLOOKUP(H58,Tabla2[[#All],[IDPV]:[PP VOZ]],121,0)</f>
        <v>0.12059800083105997</v>
      </c>
      <c r="W58" s="77">
        <f t="shared" si="39"/>
        <v>-0.12059800083105997</v>
      </c>
      <c r="X58" s="66">
        <f t="shared" si="40"/>
        <v>0</v>
      </c>
      <c r="Y58" s="77">
        <f t="shared" si="41"/>
        <v>0</v>
      </c>
      <c r="Z58" s="77">
        <f>VLOOKUP(H58,Tabla2[[#All],[IDPV]:[PP VOZ]],122,0)</f>
        <v>0.96380870918593065</v>
      </c>
      <c r="AA58" s="77">
        <f t="shared" si="42"/>
        <v>-0.96380870918593065</v>
      </c>
      <c r="AB58" s="28">
        <f t="shared" si="43"/>
        <v>0</v>
      </c>
      <c r="AC58" s="28">
        <f t="shared" si="44"/>
        <v>1.3597806269272565</v>
      </c>
      <c r="AD58" s="28">
        <f t="shared" si="45"/>
        <v>-1.3597806269272565</v>
      </c>
      <c r="AE58" s="28">
        <f t="shared" si="46"/>
        <v>0</v>
      </c>
      <c r="AF58" s="28">
        <f t="shared" si="47"/>
        <v>0.27537391691026591</v>
      </c>
      <c r="AG58" s="28">
        <f t="shared" si="48"/>
        <v>-0.27537391691026591</v>
      </c>
      <c r="AH58" s="28">
        <f t="shared" si="49"/>
        <v>0</v>
      </c>
      <c r="AI58" s="28">
        <f t="shared" si="50"/>
        <v>0.12059800083105997</v>
      </c>
      <c r="AJ58" s="28">
        <f t="shared" si="51"/>
        <v>-0.12059800083105997</v>
      </c>
      <c r="AN58" s="64">
        <f>+COUNTIFS(FieldWy!A:A,H58,FieldWy!F:F,"&lt;&gt;")</f>
        <v>0</v>
      </c>
      <c r="AO58" s="86">
        <f t="shared" si="52"/>
        <v>0</v>
      </c>
      <c r="AP58" s="64">
        <f>+COUNTIFS(FieldWy!A:A,H58,FieldWy!F:F,"&lt;&gt;",FieldWy!AA:AA,"true")</f>
        <v>0</v>
      </c>
      <c r="AQ58" s="86">
        <f t="shared" si="53"/>
        <v>0</v>
      </c>
      <c r="AR58" s="64">
        <f>+COUNTIFS(FieldWy!A:A,H58,FieldWy!F:F,"&lt;&gt;",FieldWy!X:X,"PORTABILIDAD")</f>
        <v>0</v>
      </c>
      <c r="AS58" s="64">
        <f t="shared" si="54"/>
        <v>0</v>
      </c>
      <c r="AT58" s="64">
        <f t="shared" si="32"/>
        <v>0</v>
      </c>
      <c r="AU58" s="86">
        <f t="shared" si="55"/>
        <v>0</v>
      </c>
    </row>
    <row r="59" spans="1:47" hidden="1" x14ac:dyDescent="0.2">
      <c r="A59" t="s">
        <v>455</v>
      </c>
      <c r="B59" t="s">
        <v>451</v>
      </c>
      <c r="C59" s="43">
        <v>1</v>
      </c>
      <c r="H59">
        <v>2092309</v>
      </c>
      <c r="I59" t="s">
        <v>421</v>
      </c>
      <c r="J59" t="s">
        <v>470</v>
      </c>
      <c r="K59" s="43" t="s">
        <v>281</v>
      </c>
      <c r="L59" s="66">
        <f t="shared" si="34"/>
        <v>0</v>
      </c>
      <c r="M59" s="77">
        <f>SUM(Altas!E56:AI56)</f>
        <v>0</v>
      </c>
      <c r="N59" s="77">
        <f>VLOOKUP(H59,Cuota!$D:$DU,119,0)</f>
        <v>1.4974675853823896</v>
      </c>
      <c r="O59" s="77">
        <f t="shared" si="35"/>
        <v>-1.4974675853823896</v>
      </c>
      <c r="P59" s="66">
        <f t="shared" si="36"/>
        <v>0</v>
      </c>
      <c r="Q59" s="77">
        <f>+SUM(Altas!E103:AI103)</f>
        <v>0</v>
      </c>
      <c r="R59" s="77">
        <f>VLOOKUP(H59,Tabla2[[#All],[IDPV]:[PP VOZ]],120,0)</f>
        <v>0.82612175073079774</v>
      </c>
      <c r="S59" s="77">
        <f t="shared" si="37"/>
        <v>-0.82612175073079774</v>
      </c>
      <c r="T59" s="66">
        <f t="shared" si="38"/>
        <v>0</v>
      </c>
      <c r="U59" s="78">
        <f>+SUM(Altas!E150:AI150)</f>
        <v>0</v>
      </c>
      <c r="V59" s="77">
        <f>VLOOKUP(H59,Tabla2[[#All],[IDPV]:[PP VOZ]],121,0)</f>
        <v>0.12059800083105997</v>
      </c>
      <c r="W59" s="77">
        <f t="shared" si="39"/>
        <v>-0.12059800083105997</v>
      </c>
      <c r="X59" s="66">
        <f t="shared" si="40"/>
        <v>0</v>
      </c>
      <c r="Y59" s="77">
        <f t="shared" si="41"/>
        <v>0</v>
      </c>
      <c r="Z59" s="77">
        <f>VLOOKUP(H59,Tabla2[[#All],[IDPV]:[PP VOZ]],122,0)</f>
        <v>0.55074783382053183</v>
      </c>
      <c r="AA59" s="77">
        <f t="shared" si="42"/>
        <v>-0.55074783382053183</v>
      </c>
      <c r="AB59" s="28">
        <f t="shared" si="43"/>
        <v>0</v>
      </c>
      <c r="AC59" s="28">
        <f t="shared" si="44"/>
        <v>1.4974675853823896</v>
      </c>
      <c r="AD59" s="28">
        <f t="shared" si="45"/>
        <v>-1.4974675853823896</v>
      </c>
      <c r="AE59" s="28">
        <f t="shared" si="46"/>
        <v>0</v>
      </c>
      <c r="AF59" s="28">
        <f t="shared" si="47"/>
        <v>0.82612175073079774</v>
      </c>
      <c r="AG59" s="28">
        <f t="shared" si="48"/>
        <v>-0.82612175073079774</v>
      </c>
      <c r="AH59" s="28">
        <f t="shared" si="49"/>
        <v>0</v>
      </c>
      <c r="AI59" s="28">
        <f t="shared" si="50"/>
        <v>0.12059800083105997</v>
      </c>
      <c r="AJ59" s="28">
        <f t="shared" si="51"/>
        <v>-0.12059800083105997</v>
      </c>
      <c r="AN59" s="64">
        <f>+COUNTIFS(FieldWy!A:A,H59,FieldWy!F:F,"&lt;&gt;")</f>
        <v>0</v>
      </c>
      <c r="AO59" s="86">
        <f t="shared" si="52"/>
        <v>0</v>
      </c>
      <c r="AP59" s="64">
        <f>+COUNTIFS(FieldWy!A:A,H59,FieldWy!F:F,"&lt;&gt;",FieldWy!AA:AA,"true")</f>
        <v>0</v>
      </c>
      <c r="AQ59" s="86">
        <f t="shared" si="53"/>
        <v>0</v>
      </c>
      <c r="AR59" s="64">
        <f>+COUNTIFS(FieldWy!A:A,H59,FieldWy!F:F,"&lt;&gt;",FieldWy!X:X,"PORTABILIDAD")</f>
        <v>0</v>
      </c>
      <c r="AS59" s="64">
        <f t="shared" si="54"/>
        <v>0</v>
      </c>
      <c r="AT59" s="64">
        <f t="shared" si="32"/>
        <v>0</v>
      </c>
      <c r="AU59" s="86">
        <f t="shared" si="55"/>
        <v>0</v>
      </c>
    </row>
    <row r="60" spans="1:47" hidden="1" x14ac:dyDescent="0.2">
      <c r="A60" t="s">
        <v>455</v>
      </c>
      <c r="B60" t="s">
        <v>452</v>
      </c>
      <c r="C60" s="43">
        <v>1</v>
      </c>
      <c r="H60">
        <v>2092310</v>
      </c>
      <c r="I60" t="s">
        <v>422</v>
      </c>
      <c r="J60" t="s">
        <v>464</v>
      </c>
      <c r="K60" s="43" t="s">
        <v>281</v>
      </c>
      <c r="L60" s="66">
        <f t="shared" si="34"/>
        <v>0</v>
      </c>
      <c r="M60" s="77">
        <f>SUM(Altas!E57:AI57)</f>
        <v>0</v>
      </c>
      <c r="N60" s="77">
        <f>VLOOKUP(H60,Cuota!$D:$DU,119,0)</f>
        <v>1.3597806269272565</v>
      </c>
      <c r="O60" s="77">
        <f t="shared" si="35"/>
        <v>-1.3597806269272565</v>
      </c>
      <c r="P60" s="66">
        <f t="shared" si="36"/>
        <v>0</v>
      </c>
      <c r="Q60" s="77">
        <f>+SUM(Altas!E104:AI104)</f>
        <v>0</v>
      </c>
      <c r="R60" s="77">
        <f>VLOOKUP(H60,Tabla2[[#All],[IDPV]:[PP VOZ]],120,0)</f>
        <v>0.68843479227566484</v>
      </c>
      <c r="S60" s="77">
        <f t="shared" si="37"/>
        <v>-0.68843479227566484</v>
      </c>
      <c r="T60" s="66">
        <f t="shared" si="38"/>
        <v>0</v>
      </c>
      <c r="U60" s="78">
        <f>+SUM(Altas!E151:AI151)</f>
        <v>0</v>
      </c>
      <c r="V60" s="77">
        <f>VLOOKUP(H60,Tabla2[[#All],[IDPV]:[PP VOZ]],121,0)</f>
        <v>0.12059800083105997</v>
      </c>
      <c r="W60" s="77">
        <f t="shared" si="39"/>
        <v>-0.12059800083105997</v>
      </c>
      <c r="X60" s="66">
        <f t="shared" si="40"/>
        <v>0</v>
      </c>
      <c r="Y60" s="77">
        <f t="shared" si="41"/>
        <v>0</v>
      </c>
      <c r="Z60" s="77">
        <f>VLOOKUP(H60,Tabla2[[#All],[IDPV]:[PP VOZ]],122,0)</f>
        <v>0.55074783382053172</v>
      </c>
      <c r="AA60" s="77">
        <f t="shared" si="42"/>
        <v>-0.55074783382053172</v>
      </c>
      <c r="AB60" s="28">
        <f t="shared" si="43"/>
        <v>0</v>
      </c>
      <c r="AC60" s="28">
        <f t="shared" si="44"/>
        <v>1.3597806269272565</v>
      </c>
      <c r="AD60" s="28">
        <f t="shared" si="45"/>
        <v>-1.3597806269272565</v>
      </c>
      <c r="AE60" s="28">
        <f t="shared" si="46"/>
        <v>0</v>
      </c>
      <c r="AF60" s="28">
        <f t="shared" si="47"/>
        <v>0.68843479227566484</v>
      </c>
      <c r="AG60" s="28">
        <f t="shared" si="48"/>
        <v>-0.68843479227566484</v>
      </c>
      <c r="AH60" s="28">
        <f t="shared" si="49"/>
        <v>0</v>
      </c>
      <c r="AI60" s="28">
        <f t="shared" si="50"/>
        <v>0.12059800083105997</v>
      </c>
      <c r="AJ60" s="28">
        <f t="shared" si="51"/>
        <v>-0.12059800083105997</v>
      </c>
      <c r="AN60" s="64">
        <f>+COUNTIFS(FieldWy!A:A,H60,FieldWy!F:F,"&lt;&gt;")</f>
        <v>0</v>
      </c>
      <c r="AO60" s="86">
        <f t="shared" si="52"/>
        <v>0</v>
      </c>
      <c r="AP60" s="64">
        <f>+COUNTIFS(FieldWy!A:A,H60,FieldWy!F:F,"&lt;&gt;",FieldWy!AA:AA,"true")</f>
        <v>0</v>
      </c>
      <c r="AQ60" s="86">
        <f t="shared" si="53"/>
        <v>0</v>
      </c>
      <c r="AR60" s="64">
        <f>+COUNTIFS(FieldWy!A:A,H60,FieldWy!F:F,"&lt;&gt;",FieldWy!X:X,"PORTABILIDAD")</f>
        <v>0</v>
      </c>
      <c r="AS60" s="64">
        <f t="shared" si="54"/>
        <v>0</v>
      </c>
      <c r="AT60" s="64">
        <f t="shared" si="32"/>
        <v>0</v>
      </c>
      <c r="AU60" s="86">
        <f t="shared" si="55"/>
        <v>0</v>
      </c>
    </row>
    <row r="61" spans="1:47" x14ac:dyDescent="0.2">
      <c r="A61" s="43" t="s">
        <v>124</v>
      </c>
      <c r="B61" s="43" t="s">
        <v>125</v>
      </c>
      <c r="C61" s="43">
        <v>1</v>
      </c>
      <c r="D61" s="43" t="s">
        <v>543</v>
      </c>
      <c r="E61" s="43" t="s">
        <v>345</v>
      </c>
      <c r="F61" s="43"/>
      <c r="G61" s="43" t="s">
        <v>343</v>
      </c>
      <c r="H61" s="43">
        <v>2092359</v>
      </c>
      <c r="I61" s="43" t="s">
        <v>101</v>
      </c>
      <c r="J61" s="43" t="s">
        <v>17</v>
      </c>
      <c r="K61" s="43" t="s">
        <v>7</v>
      </c>
      <c r="L61" s="66">
        <f t="shared" si="34"/>
        <v>0</v>
      </c>
      <c r="M61" s="77">
        <f>SUM(Altas!E58:AI58)</f>
        <v>0</v>
      </c>
      <c r="N61" s="77">
        <f>VLOOKUP(H61,Cuota!$D:$DU,119,0)</f>
        <v>1.3597806269272565</v>
      </c>
      <c r="O61" s="77">
        <f t="shared" si="35"/>
        <v>-1.3597806269272565</v>
      </c>
      <c r="P61" s="66">
        <f t="shared" si="36"/>
        <v>0</v>
      </c>
      <c r="Q61" s="77">
        <f>+SUM(Altas!E105:AI105)</f>
        <v>0</v>
      </c>
      <c r="R61" s="77">
        <f>VLOOKUP(H61,Tabla2[[#All],[IDPV]:[PP VOZ]],120,0)</f>
        <v>0.68843479227566484</v>
      </c>
      <c r="S61" s="77">
        <f t="shared" si="37"/>
        <v>-0.68843479227566484</v>
      </c>
      <c r="T61" s="66">
        <f t="shared" si="38"/>
        <v>0</v>
      </c>
      <c r="U61" s="78">
        <f>+SUM(Altas!E152:AI152)</f>
        <v>0</v>
      </c>
      <c r="V61" s="77">
        <f>VLOOKUP(H61,Tabla2[[#All],[IDPV]:[PP VOZ]],121,0)</f>
        <v>0.12059800083105997</v>
      </c>
      <c r="W61" s="77">
        <f t="shared" si="39"/>
        <v>-0.12059800083105997</v>
      </c>
      <c r="X61" s="66">
        <f t="shared" si="40"/>
        <v>0</v>
      </c>
      <c r="Y61" s="77">
        <f t="shared" si="41"/>
        <v>0</v>
      </c>
      <c r="Z61" s="77">
        <f>VLOOKUP(H61,Tabla2[[#All],[IDPV]:[PP VOZ]],122,0)</f>
        <v>0.55074783382053172</v>
      </c>
      <c r="AA61" s="77">
        <f t="shared" si="42"/>
        <v>-0.55074783382053172</v>
      </c>
      <c r="AB61" s="28">
        <f t="shared" si="43"/>
        <v>0</v>
      </c>
      <c r="AC61" s="28">
        <f t="shared" si="44"/>
        <v>1.3597806269272565</v>
      </c>
      <c r="AD61" s="28">
        <f t="shared" si="45"/>
        <v>-1.3597806269272565</v>
      </c>
      <c r="AE61" s="28">
        <f t="shared" si="46"/>
        <v>0</v>
      </c>
      <c r="AF61" s="28">
        <f t="shared" si="47"/>
        <v>0.68843479227566484</v>
      </c>
      <c r="AG61" s="28">
        <f t="shared" si="48"/>
        <v>-0.68843479227566484</v>
      </c>
      <c r="AH61" s="28">
        <f t="shared" si="49"/>
        <v>0</v>
      </c>
      <c r="AI61" s="28">
        <f t="shared" si="50"/>
        <v>0.12059800083105997</v>
      </c>
      <c r="AJ61" s="28">
        <f t="shared" si="51"/>
        <v>-0.12059800083105997</v>
      </c>
      <c r="AK61" s="28" t="e">
        <f>+Y61/#REF!</f>
        <v>#REF!</v>
      </c>
      <c r="AL61" s="28" t="e">
        <f>+Z61/#REF!</f>
        <v>#REF!</v>
      </c>
      <c r="AM61" s="28" t="e">
        <f t="shared" ref="AM61:AM67" si="56">+AK61-AL61</f>
        <v>#REF!</v>
      </c>
      <c r="AN61" s="64">
        <f>+COUNTIFS(FieldWy!A:A,H61,FieldWy!F:F,"&lt;&gt;")</f>
        <v>0</v>
      </c>
      <c r="AO61" s="86">
        <f t="shared" si="52"/>
        <v>0</v>
      </c>
      <c r="AP61" s="64">
        <f>+COUNTIFS(FieldWy!A:A,H61,FieldWy!F:F,"&lt;&gt;",FieldWy!AA:AA,"true")</f>
        <v>0</v>
      </c>
      <c r="AQ61" s="86">
        <f t="shared" si="53"/>
        <v>0</v>
      </c>
      <c r="AR61" s="64">
        <f>+COUNTIFS(FieldWy!A:A,H61,FieldWy!F:F,"&lt;&gt;",FieldWy!X:X,"PORTABILIDAD")</f>
        <v>0</v>
      </c>
      <c r="AS61" s="64">
        <f t="shared" si="54"/>
        <v>0</v>
      </c>
      <c r="AT61" s="64">
        <f t="shared" si="32"/>
        <v>0</v>
      </c>
      <c r="AU61" s="86">
        <f t="shared" si="55"/>
        <v>0</v>
      </c>
    </row>
    <row r="62" spans="1:47" x14ac:dyDescent="0.2">
      <c r="A62" s="43" t="s">
        <v>99</v>
      </c>
      <c r="B62" s="43" t="s">
        <v>557</v>
      </c>
      <c r="C62" s="43">
        <v>1</v>
      </c>
      <c r="D62" s="43"/>
      <c r="E62" s="43"/>
      <c r="F62" s="43"/>
      <c r="G62" s="43" t="s">
        <v>343</v>
      </c>
      <c r="H62" s="43">
        <v>2092361</v>
      </c>
      <c r="I62" s="43" t="s">
        <v>39</v>
      </c>
      <c r="J62" s="43" t="s">
        <v>40</v>
      </c>
      <c r="K62" s="43" t="s">
        <v>7</v>
      </c>
      <c r="L62" s="66">
        <f t="shared" si="34"/>
        <v>0</v>
      </c>
      <c r="M62" s="77">
        <f>SUM(Altas!E59:AI59)</f>
        <v>0</v>
      </c>
      <c r="N62" s="77">
        <f>VLOOKUP(H62,Cuota!$D:$DU,119,0)</f>
        <v>1.3597806269272565</v>
      </c>
      <c r="O62" s="77">
        <f t="shared" si="35"/>
        <v>-1.3597806269272565</v>
      </c>
      <c r="P62" s="66">
        <f t="shared" si="36"/>
        <v>0</v>
      </c>
      <c r="Q62" s="77">
        <f>+SUM(Altas!E106:AI106)</f>
        <v>0</v>
      </c>
      <c r="R62" s="77">
        <f>VLOOKUP(H62,Tabla2[[#All],[IDPV]:[PP VOZ]],120,0)</f>
        <v>0.68843479227566484</v>
      </c>
      <c r="S62" s="77">
        <f t="shared" si="37"/>
        <v>-0.68843479227566484</v>
      </c>
      <c r="T62" s="66">
        <f t="shared" si="38"/>
        <v>0</v>
      </c>
      <c r="U62" s="78">
        <f>+SUM(Altas!E153:AI153)</f>
        <v>0</v>
      </c>
      <c r="V62" s="77">
        <f>VLOOKUP(H62,Tabla2[[#All],[IDPV]:[PP VOZ]],121,0)</f>
        <v>0.12059800083105997</v>
      </c>
      <c r="W62" s="77">
        <f t="shared" si="39"/>
        <v>-0.12059800083105997</v>
      </c>
      <c r="X62" s="66">
        <f t="shared" si="40"/>
        <v>0</v>
      </c>
      <c r="Y62" s="77">
        <f t="shared" si="41"/>
        <v>0</v>
      </c>
      <c r="Z62" s="77">
        <f>VLOOKUP(H62,Tabla2[[#All],[IDPV]:[PP VOZ]],122,0)</f>
        <v>0.55074783382053172</v>
      </c>
      <c r="AA62" s="77">
        <f t="shared" si="42"/>
        <v>-0.55074783382053172</v>
      </c>
      <c r="AB62" s="28">
        <f t="shared" si="43"/>
        <v>0</v>
      </c>
      <c r="AC62" s="28">
        <f t="shared" si="44"/>
        <v>1.3597806269272565</v>
      </c>
      <c r="AD62" s="28">
        <f t="shared" si="45"/>
        <v>-1.3597806269272565</v>
      </c>
      <c r="AE62" s="28">
        <f t="shared" si="46"/>
        <v>0</v>
      </c>
      <c r="AF62" s="28">
        <f t="shared" si="47"/>
        <v>0.68843479227566484</v>
      </c>
      <c r="AG62" s="28">
        <f t="shared" si="48"/>
        <v>-0.68843479227566484</v>
      </c>
      <c r="AH62" s="28">
        <f t="shared" si="49"/>
        <v>0</v>
      </c>
      <c r="AI62" s="28">
        <f t="shared" si="50"/>
        <v>0.12059800083105997</v>
      </c>
      <c r="AJ62" s="28">
        <f t="shared" si="51"/>
        <v>-0.12059800083105997</v>
      </c>
      <c r="AK62" s="28" t="e">
        <f>+Y62/#REF!</f>
        <v>#REF!</v>
      </c>
      <c r="AL62" s="28" t="e">
        <f>+Z62/#REF!</f>
        <v>#REF!</v>
      </c>
      <c r="AM62" s="28" t="e">
        <f t="shared" si="56"/>
        <v>#REF!</v>
      </c>
      <c r="AN62" s="64">
        <f>+COUNTIFS(FieldWy!A:A,H62,FieldWy!F:F,"&lt;&gt;")</f>
        <v>0</v>
      </c>
      <c r="AO62" s="86">
        <f t="shared" si="52"/>
        <v>0</v>
      </c>
      <c r="AP62" s="64">
        <f>+COUNTIFS(FieldWy!A:A,H62,FieldWy!F:F,"&lt;&gt;",FieldWy!AA:AA,"true")</f>
        <v>0</v>
      </c>
      <c r="AQ62" s="86">
        <f t="shared" si="53"/>
        <v>0</v>
      </c>
      <c r="AR62" s="64">
        <f>+COUNTIFS(FieldWy!A:A,H62,FieldWy!F:F,"&lt;&gt;",FieldWy!X:X,"PORTABILIDAD")</f>
        <v>0</v>
      </c>
      <c r="AS62" s="64">
        <f t="shared" si="54"/>
        <v>0</v>
      </c>
      <c r="AT62" s="64">
        <f t="shared" si="32"/>
        <v>0</v>
      </c>
      <c r="AU62" s="86">
        <f t="shared" si="55"/>
        <v>0</v>
      </c>
    </row>
    <row r="63" spans="1:47" x14ac:dyDescent="0.2">
      <c r="A63" s="43" t="s">
        <v>99</v>
      </c>
      <c r="B63" s="43" t="s">
        <v>557</v>
      </c>
      <c r="C63" s="43">
        <v>1</v>
      </c>
      <c r="D63" s="43"/>
      <c r="E63" s="43"/>
      <c r="F63" s="43"/>
      <c r="G63" s="43" t="s">
        <v>343</v>
      </c>
      <c r="H63" s="43">
        <v>2092362</v>
      </c>
      <c r="I63" s="43" t="s">
        <v>102</v>
      </c>
      <c r="J63" s="43" t="s">
        <v>38</v>
      </c>
      <c r="K63" s="43" t="s">
        <v>7</v>
      </c>
      <c r="L63" s="66">
        <f t="shared" si="34"/>
        <v>0</v>
      </c>
      <c r="M63" s="77">
        <f>SUM(Altas!E60:AI60)</f>
        <v>0</v>
      </c>
      <c r="N63" s="77">
        <f>VLOOKUP(H63,Cuota!$D:$DU,119,0)</f>
        <v>0.94671975156185773</v>
      </c>
      <c r="O63" s="77">
        <f t="shared" si="35"/>
        <v>-0.94671975156185773</v>
      </c>
      <c r="P63" s="66">
        <f t="shared" si="36"/>
        <v>0</v>
      </c>
      <c r="Q63" s="77">
        <f>+SUM(Altas!E107:AI107)</f>
        <v>0</v>
      </c>
      <c r="R63" s="77">
        <f>VLOOKUP(H63,Tabla2[[#All],[IDPV]:[PP VOZ]],120,0)</f>
        <v>0.41306087536539887</v>
      </c>
      <c r="S63" s="77">
        <f t="shared" si="37"/>
        <v>-0.41306087536539887</v>
      </c>
      <c r="T63" s="66">
        <f t="shared" si="38"/>
        <v>0</v>
      </c>
      <c r="U63" s="78">
        <f>+SUM(Altas!E154:AI154)</f>
        <v>0</v>
      </c>
      <c r="V63" s="77">
        <f>VLOOKUP(H63,Tabla2[[#All],[IDPV]:[PP VOZ]],121,0)</f>
        <v>0.12059800083105997</v>
      </c>
      <c r="W63" s="77">
        <f t="shared" si="39"/>
        <v>-0.12059800083105997</v>
      </c>
      <c r="X63" s="66">
        <f t="shared" si="40"/>
        <v>0</v>
      </c>
      <c r="Y63" s="77">
        <f t="shared" si="41"/>
        <v>0</v>
      </c>
      <c r="Z63" s="77">
        <f>VLOOKUP(H63,Tabla2[[#All],[IDPV]:[PP VOZ]],122,0)</f>
        <v>0.41306087536539893</v>
      </c>
      <c r="AA63" s="77">
        <f t="shared" si="42"/>
        <v>-0.41306087536539893</v>
      </c>
      <c r="AB63" s="28">
        <f t="shared" si="43"/>
        <v>0</v>
      </c>
      <c r="AC63" s="28">
        <f t="shared" si="44"/>
        <v>0.94671975156185773</v>
      </c>
      <c r="AD63" s="28">
        <f t="shared" si="45"/>
        <v>-0.94671975156185773</v>
      </c>
      <c r="AE63" s="28">
        <f t="shared" si="46"/>
        <v>0</v>
      </c>
      <c r="AF63" s="28">
        <f t="shared" si="47"/>
        <v>0.41306087536539887</v>
      </c>
      <c r="AG63" s="28">
        <f t="shared" si="48"/>
        <v>-0.41306087536539887</v>
      </c>
      <c r="AH63" s="28">
        <f t="shared" si="49"/>
        <v>0</v>
      </c>
      <c r="AI63" s="28">
        <f t="shared" si="50"/>
        <v>0.12059800083105997</v>
      </c>
      <c r="AJ63" s="28">
        <f t="shared" si="51"/>
        <v>-0.12059800083105997</v>
      </c>
      <c r="AK63" s="28" t="e">
        <f>+Y63/#REF!</f>
        <v>#REF!</v>
      </c>
      <c r="AL63" s="28" t="e">
        <f>+Z63/#REF!</f>
        <v>#REF!</v>
      </c>
      <c r="AM63" s="28" t="e">
        <f t="shared" si="56"/>
        <v>#REF!</v>
      </c>
      <c r="AN63" s="64">
        <f>+COUNTIFS(FieldWy!A:A,H63,FieldWy!F:F,"&lt;&gt;")</f>
        <v>0</v>
      </c>
      <c r="AO63" s="86">
        <f t="shared" si="52"/>
        <v>0</v>
      </c>
      <c r="AP63" s="64">
        <f>+COUNTIFS(FieldWy!A:A,H63,FieldWy!F:F,"&lt;&gt;",FieldWy!AA:AA,"true")</f>
        <v>0</v>
      </c>
      <c r="AQ63" s="86">
        <f t="shared" si="53"/>
        <v>0</v>
      </c>
      <c r="AR63" s="64">
        <f>+COUNTIFS(FieldWy!A:A,H63,FieldWy!F:F,"&lt;&gt;",FieldWy!X:X,"PORTABILIDAD")</f>
        <v>0</v>
      </c>
      <c r="AS63" s="64">
        <f t="shared" si="54"/>
        <v>0</v>
      </c>
      <c r="AT63" s="64">
        <f t="shared" si="32"/>
        <v>0</v>
      </c>
      <c r="AU63" s="86">
        <f t="shared" si="55"/>
        <v>0</v>
      </c>
    </row>
    <row r="64" spans="1:47" x14ac:dyDescent="0.2">
      <c r="A64" s="43" t="s">
        <v>124</v>
      </c>
      <c r="B64" s="43" t="s">
        <v>557</v>
      </c>
      <c r="C64" s="43">
        <v>1</v>
      </c>
      <c r="D64" s="43" t="s">
        <v>387</v>
      </c>
      <c r="E64" s="43"/>
      <c r="F64" s="43"/>
      <c r="G64" s="43" t="s">
        <v>343</v>
      </c>
      <c r="H64" s="43">
        <v>2092363</v>
      </c>
      <c r="I64" s="43" t="s">
        <v>41</v>
      </c>
      <c r="J64" s="43" t="s">
        <v>38</v>
      </c>
      <c r="K64" s="43" t="s">
        <v>7</v>
      </c>
      <c r="L64" s="66">
        <f t="shared" si="34"/>
        <v>0</v>
      </c>
      <c r="M64" s="77">
        <f>SUM(Altas!E61:AI61)</f>
        <v>0</v>
      </c>
      <c r="N64" s="77">
        <f>VLOOKUP(H64,Cuota!$D:$DU,119,0)</f>
        <v>1.3597806269272565</v>
      </c>
      <c r="O64" s="77">
        <f t="shared" si="35"/>
        <v>-1.3597806269272565</v>
      </c>
      <c r="P64" s="66">
        <f t="shared" si="36"/>
        <v>0</v>
      </c>
      <c r="Q64" s="77">
        <f>+SUM(Altas!E108:AI108)</f>
        <v>0</v>
      </c>
      <c r="R64" s="77">
        <f>VLOOKUP(H64,Tabla2[[#All],[IDPV]:[PP VOZ]],120,0)</f>
        <v>0.68843479227566484</v>
      </c>
      <c r="S64" s="77">
        <f t="shared" si="37"/>
        <v>-0.68843479227566484</v>
      </c>
      <c r="T64" s="66">
        <f t="shared" si="38"/>
        <v>0</v>
      </c>
      <c r="U64" s="78">
        <f>+SUM(Altas!E155:AI155)</f>
        <v>0</v>
      </c>
      <c r="V64" s="77">
        <f>VLOOKUP(H64,Tabla2[[#All],[IDPV]:[PP VOZ]],121,0)</f>
        <v>0.12059800083105997</v>
      </c>
      <c r="W64" s="77">
        <f t="shared" si="39"/>
        <v>-0.12059800083105997</v>
      </c>
      <c r="X64" s="66">
        <f t="shared" si="40"/>
        <v>0</v>
      </c>
      <c r="Y64" s="77">
        <f t="shared" si="41"/>
        <v>0</v>
      </c>
      <c r="Z64" s="77">
        <f>VLOOKUP(H64,Tabla2[[#All],[IDPV]:[PP VOZ]],122,0)</f>
        <v>0.55074783382053172</v>
      </c>
      <c r="AA64" s="77">
        <f t="shared" si="42"/>
        <v>-0.55074783382053172</v>
      </c>
      <c r="AB64" s="28">
        <f t="shared" si="43"/>
        <v>0</v>
      </c>
      <c r="AC64" s="28">
        <f t="shared" si="44"/>
        <v>1.3597806269272565</v>
      </c>
      <c r="AD64" s="28">
        <f t="shared" si="45"/>
        <v>-1.3597806269272565</v>
      </c>
      <c r="AE64" s="28">
        <f t="shared" si="46"/>
        <v>0</v>
      </c>
      <c r="AF64" s="28">
        <f t="shared" si="47"/>
        <v>0.68843479227566484</v>
      </c>
      <c r="AG64" s="28">
        <f t="shared" si="48"/>
        <v>-0.68843479227566484</v>
      </c>
      <c r="AH64" s="28">
        <f t="shared" si="49"/>
        <v>0</v>
      </c>
      <c r="AI64" s="28">
        <f t="shared" si="50"/>
        <v>0.12059800083105997</v>
      </c>
      <c r="AJ64" s="28">
        <f t="shared" si="51"/>
        <v>-0.12059800083105997</v>
      </c>
      <c r="AK64" s="28" t="e">
        <f>+Y64/#REF!</f>
        <v>#REF!</v>
      </c>
      <c r="AL64" s="28" t="e">
        <f>+Z64/#REF!</f>
        <v>#REF!</v>
      </c>
      <c r="AM64" s="28" t="e">
        <f t="shared" si="56"/>
        <v>#REF!</v>
      </c>
      <c r="AN64" s="64">
        <f>+COUNTIFS(FieldWy!A:A,H64,FieldWy!F:F,"&lt;&gt;")</f>
        <v>0</v>
      </c>
      <c r="AO64" s="86">
        <f t="shared" si="52"/>
        <v>0</v>
      </c>
      <c r="AP64" s="64">
        <f>+COUNTIFS(FieldWy!A:A,H64,FieldWy!F:F,"&lt;&gt;",FieldWy!AA:AA,"true")</f>
        <v>0</v>
      </c>
      <c r="AQ64" s="86">
        <f t="shared" si="53"/>
        <v>0</v>
      </c>
      <c r="AR64" s="64">
        <f>+COUNTIFS(FieldWy!A:A,H64,FieldWy!F:F,"&lt;&gt;",FieldWy!X:X,"PORTABILIDAD")</f>
        <v>0</v>
      </c>
      <c r="AS64" s="64">
        <f t="shared" si="54"/>
        <v>0</v>
      </c>
      <c r="AT64" s="64">
        <f t="shared" si="32"/>
        <v>0</v>
      </c>
      <c r="AU64" s="86">
        <f t="shared" si="55"/>
        <v>0</v>
      </c>
    </row>
    <row r="65" spans="1:47" x14ac:dyDescent="0.2">
      <c r="A65" s="43" t="s">
        <v>99</v>
      </c>
      <c r="B65" s="43" t="s">
        <v>127</v>
      </c>
      <c r="C65" s="43">
        <v>1</v>
      </c>
      <c r="D65" s="43" t="s">
        <v>382</v>
      </c>
      <c r="E65" s="43"/>
      <c r="F65" s="43"/>
      <c r="G65" s="43" t="s">
        <v>305</v>
      </c>
      <c r="H65" s="43">
        <v>2092366</v>
      </c>
      <c r="I65" s="43" t="s">
        <v>42</v>
      </c>
      <c r="J65" s="43" t="s">
        <v>21</v>
      </c>
      <c r="K65" s="43" t="s">
        <v>7</v>
      </c>
      <c r="L65" s="66">
        <f t="shared" si="34"/>
        <v>0</v>
      </c>
      <c r="M65" s="77">
        <f>SUM(Altas!E62:AI62)</f>
        <v>0</v>
      </c>
      <c r="N65" s="77">
        <f>VLOOKUP(H65,Cuota!$D:$DU,119,0)</f>
        <v>0.94671975156185773</v>
      </c>
      <c r="O65" s="77">
        <f t="shared" si="35"/>
        <v>-0.94671975156185773</v>
      </c>
      <c r="P65" s="66">
        <f t="shared" si="36"/>
        <v>0</v>
      </c>
      <c r="Q65" s="77">
        <f>+SUM(Altas!E109:AI109)</f>
        <v>0</v>
      </c>
      <c r="R65" s="77">
        <f>VLOOKUP(H65,Tabla2[[#All],[IDPV]:[PP VOZ]],120,0)</f>
        <v>0.41306087536539887</v>
      </c>
      <c r="S65" s="77">
        <f t="shared" si="37"/>
        <v>-0.41306087536539887</v>
      </c>
      <c r="T65" s="66">
        <f t="shared" si="38"/>
        <v>0</v>
      </c>
      <c r="U65" s="78">
        <f>+SUM(Altas!E156:AI156)</f>
        <v>0</v>
      </c>
      <c r="V65" s="77">
        <f>VLOOKUP(H65,Tabla2[[#All],[IDPV]:[PP VOZ]],121,0)</f>
        <v>0.12059800083105997</v>
      </c>
      <c r="W65" s="77">
        <f t="shared" si="39"/>
        <v>-0.12059800083105997</v>
      </c>
      <c r="X65" s="66">
        <f t="shared" si="40"/>
        <v>0</v>
      </c>
      <c r="Y65" s="77">
        <f t="shared" si="41"/>
        <v>0</v>
      </c>
      <c r="Z65" s="77">
        <f>VLOOKUP(H65,Tabla2[[#All],[IDPV]:[PP VOZ]],122,0)</f>
        <v>0.41306087536539893</v>
      </c>
      <c r="AA65" s="77">
        <f t="shared" si="42"/>
        <v>-0.41306087536539893</v>
      </c>
      <c r="AB65" s="28">
        <f t="shared" si="43"/>
        <v>0</v>
      </c>
      <c r="AC65" s="28">
        <f t="shared" si="44"/>
        <v>0.94671975156185773</v>
      </c>
      <c r="AD65" s="28">
        <f t="shared" si="45"/>
        <v>-0.94671975156185773</v>
      </c>
      <c r="AE65" s="28">
        <f t="shared" si="46"/>
        <v>0</v>
      </c>
      <c r="AF65" s="28">
        <f t="shared" si="47"/>
        <v>0.41306087536539887</v>
      </c>
      <c r="AG65" s="28">
        <f t="shared" si="48"/>
        <v>-0.41306087536539887</v>
      </c>
      <c r="AH65" s="28">
        <f t="shared" si="49"/>
        <v>0</v>
      </c>
      <c r="AI65" s="28">
        <f t="shared" si="50"/>
        <v>0.12059800083105997</v>
      </c>
      <c r="AJ65" s="28">
        <f t="shared" si="51"/>
        <v>-0.12059800083105997</v>
      </c>
      <c r="AK65" s="28" t="e">
        <f>+Y65/#REF!</f>
        <v>#REF!</v>
      </c>
      <c r="AL65" s="28" t="e">
        <f>+Z65/#REF!</f>
        <v>#REF!</v>
      </c>
      <c r="AM65" s="28" t="e">
        <f t="shared" si="56"/>
        <v>#REF!</v>
      </c>
      <c r="AN65" s="64">
        <f>+COUNTIFS(FieldWy!A:A,H65,FieldWy!F:F,"&lt;&gt;")</f>
        <v>0</v>
      </c>
      <c r="AO65" s="86">
        <f t="shared" si="52"/>
        <v>0</v>
      </c>
      <c r="AP65" s="64">
        <f>+COUNTIFS(FieldWy!A:A,H65,FieldWy!F:F,"&lt;&gt;",FieldWy!AA:AA,"true")</f>
        <v>0</v>
      </c>
      <c r="AQ65" s="86">
        <f t="shared" si="53"/>
        <v>0</v>
      </c>
      <c r="AR65" s="64">
        <f>+COUNTIFS(FieldWy!A:A,H65,FieldWy!F:F,"&lt;&gt;",FieldWy!X:X,"PORTABILIDAD")</f>
        <v>0</v>
      </c>
      <c r="AS65" s="64">
        <f t="shared" si="54"/>
        <v>0</v>
      </c>
      <c r="AT65" s="64">
        <f t="shared" si="32"/>
        <v>0</v>
      </c>
      <c r="AU65" s="86">
        <f t="shared" si="55"/>
        <v>0</v>
      </c>
    </row>
    <row r="66" spans="1:47" x14ac:dyDescent="0.2">
      <c r="A66" s="43" t="s">
        <v>99</v>
      </c>
      <c r="B66" s="43" t="s">
        <v>127</v>
      </c>
      <c r="C66" s="43">
        <v>1</v>
      </c>
      <c r="D66" s="43" t="s">
        <v>382</v>
      </c>
      <c r="E66" s="43"/>
      <c r="F66" s="43"/>
      <c r="G66" s="43" t="s">
        <v>324</v>
      </c>
      <c r="H66" s="43">
        <v>2092367</v>
      </c>
      <c r="I66" s="43" t="s">
        <v>113</v>
      </c>
      <c r="J66" s="43" t="s">
        <v>21</v>
      </c>
      <c r="K66" s="43" t="s">
        <v>7</v>
      </c>
      <c r="L66" s="66">
        <f t="shared" si="34"/>
        <v>0</v>
      </c>
      <c r="M66" s="77">
        <f>SUM(Altas!E63:AI63)</f>
        <v>0</v>
      </c>
      <c r="N66" s="77">
        <f>VLOOKUP(H66,Cuota!$D:$DU,119,0)</f>
        <v>1.0844067100169905</v>
      </c>
      <c r="O66" s="77">
        <f t="shared" si="35"/>
        <v>-1.0844067100169905</v>
      </c>
      <c r="P66" s="66">
        <f t="shared" si="36"/>
        <v>0</v>
      </c>
      <c r="Q66" s="77">
        <f>+SUM(Altas!E110:AI110)</f>
        <v>0</v>
      </c>
      <c r="R66" s="77">
        <f>VLOOKUP(H66,Tabla2[[#All],[IDPV]:[PP VOZ]],120,0)</f>
        <v>0.41306087536539887</v>
      </c>
      <c r="S66" s="77">
        <f t="shared" si="37"/>
        <v>-0.41306087536539887</v>
      </c>
      <c r="T66" s="66">
        <f t="shared" si="38"/>
        <v>0</v>
      </c>
      <c r="U66" s="78">
        <f>+SUM(Altas!E157:AI157)</f>
        <v>0</v>
      </c>
      <c r="V66" s="77">
        <f>VLOOKUP(H66,Tabla2[[#All],[IDPV]:[PP VOZ]],121,0)</f>
        <v>0.12059800083105997</v>
      </c>
      <c r="W66" s="77">
        <f t="shared" si="39"/>
        <v>-0.12059800083105997</v>
      </c>
      <c r="X66" s="66">
        <f t="shared" si="40"/>
        <v>0</v>
      </c>
      <c r="Y66" s="77">
        <f t="shared" si="41"/>
        <v>0</v>
      </c>
      <c r="Z66" s="77">
        <f>VLOOKUP(H66,Tabla2[[#All],[IDPV]:[PP VOZ]],122,0)</f>
        <v>0.55074783382053172</v>
      </c>
      <c r="AA66" s="77">
        <f t="shared" si="42"/>
        <v>-0.55074783382053172</v>
      </c>
      <c r="AB66" s="28">
        <f t="shared" si="43"/>
        <v>0</v>
      </c>
      <c r="AC66" s="28">
        <f t="shared" si="44"/>
        <v>1.0844067100169905</v>
      </c>
      <c r="AD66" s="28">
        <f t="shared" si="45"/>
        <v>-1.0844067100169905</v>
      </c>
      <c r="AE66" s="28">
        <f t="shared" si="46"/>
        <v>0</v>
      </c>
      <c r="AF66" s="28">
        <f t="shared" si="47"/>
        <v>0.41306087536539887</v>
      </c>
      <c r="AG66" s="28">
        <f t="shared" si="48"/>
        <v>-0.41306087536539887</v>
      </c>
      <c r="AH66" s="28">
        <f t="shared" si="49"/>
        <v>0</v>
      </c>
      <c r="AI66" s="28">
        <f t="shared" si="50"/>
        <v>0.12059800083105997</v>
      </c>
      <c r="AJ66" s="28">
        <f t="shared" si="51"/>
        <v>-0.12059800083105997</v>
      </c>
      <c r="AK66" s="28" t="e">
        <f>+Y66/#REF!</f>
        <v>#REF!</v>
      </c>
      <c r="AL66" s="28" t="e">
        <f>+Z66/#REF!</f>
        <v>#REF!</v>
      </c>
      <c r="AM66" s="28" t="e">
        <f t="shared" si="56"/>
        <v>#REF!</v>
      </c>
      <c r="AN66" s="64">
        <f>+COUNTIFS(FieldWy!A:A,H66,FieldWy!F:F,"&lt;&gt;")</f>
        <v>0</v>
      </c>
      <c r="AO66" s="86">
        <f t="shared" si="52"/>
        <v>0</v>
      </c>
      <c r="AP66" s="64">
        <f>+COUNTIFS(FieldWy!A:A,H66,FieldWy!F:F,"&lt;&gt;",FieldWy!AA:AA,"true")</f>
        <v>0</v>
      </c>
      <c r="AQ66" s="86">
        <f t="shared" si="53"/>
        <v>0</v>
      </c>
      <c r="AR66" s="64">
        <f>+COUNTIFS(FieldWy!A:A,H66,FieldWy!F:F,"&lt;&gt;",FieldWy!X:X,"PORTABILIDAD")</f>
        <v>0</v>
      </c>
      <c r="AS66" s="64">
        <f t="shared" si="54"/>
        <v>0</v>
      </c>
      <c r="AT66" s="64">
        <f t="shared" si="32"/>
        <v>0</v>
      </c>
      <c r="AU66" s="86">
        <f t="shared" si="55"/>
        <v>0</v>
      </c>
    </row>
    <row r="67" spans="1:47" x14ac:dyDescent="0.2">
      <c r="A67" s="43" t="s">
        <v>99</v>
      </c>
      <c r="B67" s="43" t="s">
        <v>127</v>
      </c>
      <c r="C67" s="43">
        <v>1</v>
      </c>
      <c r="D67" s="43"/>
      <c r="E67" s="43"/>
      <c r="F67" s="43"/>
      <c r="G67" s="43" t="s">
        <v>305</v>
      </c>
      <c r="H67" s="43">
        <v>2092437</v>
      </c>
      <c r="I67" s="43" t="s">
        <v>104</v>
      </c>
      <c r="J67" s="43" t="s">
        <v>37</v>
      </c>
      <c r="K67" s="43" t="s">
        <v>7</v>
      </c>
      <c r="L67" s="66">
        <f t="shared" si="34"/>
        <v>0</v>
      </c>
      <c r="M67" s="77">
        <f>SUM(Altas!E64:AI64)</f>
        <v>0</v>
      </c>
      <c r="N67" s="77">
        <f>VLOOKUP(H67,Cuota!$D:$DU,119,0)</f>
        <v>0.94671975156185773</v>
      </c>
      <c r="O67" s="77">
        <f t="shared" si="35"/>
        <v>-0.94671975156185773</v>
      </c>
      <c r="P67" s="66">
        <f t="shared" si="36"/>
        <v>1200.7915287576732</v>
      </c>
      <c r="Q67" s="77">
        <f>+SUM(Altas!E111:AI111)</f>
        <v>496</v>
      </c>
      <c r="R67" s="77">
        <f>VLOOKUP(H67,Tabla2[[#All],[IDPV]:[PP VOZ]],120,0)</f>
        <v>0.41306087536539887</v>
      </c>
      <c r="S67" s="77">
        <f t="shared" si="37"/>
        <v>495.58693912463463</v>
      </c>
      <c r="T67" s="66">
        <f t="shared" si="38"/>
        <v>0</v>
      </c>
      <c r="U67" s="78">
        <f>+SUM(Altas!E158:AI158)</f>
        <v>0</v>
      </c>
      <c r="V67" s="77">
        <f>VLOOKUP(H67,Tabla2[[#All],[IDPV]:[PP VOZ]],121,0)</f>
        <v>0.12059800083105997</v>
      </c>
      <c r="W67" s="77">
        <f t="shared" si="39"/>
        <v>-0.12059800083105997</v>
      </c>
      <c r="X67" s="66">
        <f t="shared" si="40"/>
        <v>-1200.7915287576729</v>
      </c>
      <c r="Y67" s="77">
        <f t="shared" si="41"/>
        <v>-496</v>
      </c>
      <c r="Z67" s="77">
        <f>VLOOKUP(H67,Tabla2[[#All],[IDPV]:[PP VOZ]],122,0)</f>
        <v>0.41306087536539893</v>
      </c>
      <c r="AA67" s="77">
        <f t="shared" si="42"/>
        <v>-496.41306087536537</v>
      </c>
      <c r="AB67" s="28">
        <f t="shared" si="43"/>
        <v>0</v>
      </c>
      <c r="AC67" s="28">
        <f t="shared" si="44"/>
        <v>0.94671975156185773</v>
      </c>
      <c r="AD67" s="28">
        <f t="shared" si="45"/>
        <v>-0.94671975156185773</v>
      </c>
      <c r="AE67" s="28">
        <f t="shared" si="46"/>
        <v>496</v>
      </c>
      <c r="AF67" s="28">
        <f t="shared" si="47"/>
        <v>0.41306087536539887</v>
      </c>
      <c r="AG67" s="28">
        <f t="shared" si="48"/>
        <v>495.58693912463463</v>
      </c>
      <c r="AH67" s="28">
        <f t="shared" si="49"/>
        <v>0</v>
      </c>
      <c r="AI67" s="28">
        <f t="shared" si="50"/>
        <v>0.12059800083105997</v>
      </c>
      <c r="AJ67" s="28">
        <f t="shared" si="51"/>
        <v>-0.12059800083105997</v>
      </c>
      <c r="AK67" s="28" t="e">
        <f>+Y67/#REF!</f>
        <v>#REF!</v>
      </c>
      <c r="AL67" s="28" t="e">
        <f>+Z67/#REF!</f>
        <v>#REF!</v>
      </c>
      <c r="AM67" s="28" t="e">
        <f t="shared" si="56"/>
        <v>#REF!</v>
      </c>
      <c r="AN67" s="64">
        <f>+COUNTIFS(FieldWy!A:A,H67,FieldWy!F:F,"&lt;&gt;")</f>
        <v>0</v>
      </c>
      <c r="AO67" s="86">
        <f t="shared" si="52"/>
        <v>0</v>
      </c>
      <c r="AP67" s="64">
        <f>+COUNTIFS(FieldWy!A:A,H67,FieldWy!F:F,"&lt;&gt;",FieldWy!AA:AA,"true")</f>
        <v>0</v>
      </c>
      <c r="AQ67" s="86">
        <f t="shared" si="53"/>
        <v>496</v>
      </c>
      <c r="AR67" s="64">
        <f>+COUNTIFS(FieldWy!A:A,H67,FieldWy!F:F,"&lt;&gt;",FieldWy!X:X,"PORTABILIDAD")</f>
        <v>0</v>
      </c>
      <c r="AS67" s="64">
        <f t="shared" si="54"/>
        <v>0</v>
      </c>
      <c r="AT67" s="64">
        <f t="shared" si="32"/>
        <v>0</v>
      </c>
      <c r="AU67" s="86">
        <f t="shared" si="55"/>
        <v>-496</v>
      </c>
    </row>
    <row r="68" spans="1:47" hidden="1" x14ac:dyDescent="0.2">
      <c r="A68" t="s">
        <v>455</v>
      </c>
      <c r="B68" t="s">
        <v>450</v>
      </c>
      <c r="C68" s="43">
        <v>1</v>
      </c>
      <c r="H68">
        <v>2092446</v>
      </c>
      <c r="I68" t="s">
        <v>423</v>
      </c>
      <c r="J68" t="s">
        <v>471</v>
      </c>
      <c r="K68" s="43" t="s">
        <v>281</v>
      </c>
      <c r="L68" s="66">
        <f t="shared" si="34"/>
        <v>0</v>
      </c>
      <c r="M68" s="77">
        <f>SUM(Altas!E65:AI65)</f>
        <v>0</v>
      </c>
      <c r="N68" s="77">
        <f>VLOOKUP(H68,Cuota!$D:$DU,119,0)</f>
        <v>1.3597806269272565</v>
      </c>
      <c r="O68" s="77">
        <f t="shared" si="35"/>
        <v>-1.3597806269272565</v>
      </c>
      <c r="P68" s="66">
        <f t="shared" si="36"/>
        <v>0</v>
      </c>
      <c r="Q68" s="77">
        <f>+SUM(Altas!E112:AI112)</f>
        <v>0</v>
      </c>
      <c r="R68" s="77">
        <f>VLOOKUP(H68,Tabla2[[#All],[IDPV]:[PP VOZ]],120,0)</f>
        <v>0.41306087536539887</v>
      </c>
      <c r="S68" s="77">
        <f t="shared" si="37"/>
        <v>-0.41306087536539887</v>
      </c>
      <c r="T68" s="66">
        <f t="shared" si="38"/>
        <v>0</v>
      </c>
      <c r="U68" s="78">
        <f>+SUM(Altas!E159:AI159)</f>
        <v>0</v>
      </c>
      <c r="V68" s="77">
        <f>VLOOKUP(H68,Tabla2[[#All],[IDPV]:[PP VOZ]],121,0)</f>
        <v>0.12059800083105997</v>
      </c>
      <c r="W68" s="77">
        <f t="shared" si="39"/>
        <v>-0.12059800083105997</v>
      </c>
      <c r="X68" s="66">
        <f t="shared" si="40"/>
        <v>0</v>
      </c>
      <c r="Y68" s="77">
        <f t="shared" si="41"/>
        <v>0</v>
      </c>
      <c r="Z68" s="77">
        <f>VLOOKUP(H68,Tabla2[[#All],[IDPV]:[PP VOZ]],122,0)</f>
        <v>0.82612175073079774</v>
      </c>
      <c r="AA68" s="77">
        <f t="shared" si="42"/>
        <v>-0.82612175073079774</v>
      </c>
      <c r="AB68" s="28">
        <f t="shared" si="43"/>
        <v>0</v>
      </c>
      <c r="AC68" s="28">
        <f t="shared" si="44"/>
        <v>1.3597806269272565</v>
      </c>
      <c r="AD68" s="28">
        <f t="shared" si="45"/>
        <v>-1.3597806269272565</v>
      </c>
      <c r="AE68" s="28">
        <f t="shared" si="46"/>
        <v>0</v>
      </c>
      <c r="AF68" s="28">
        <f t="shared" si="47"/>
        <v>0.41306087536539887</v>
      </c>
      <c r="AG68" s="28">
        <f t="shared" si="48"/>
        <v>-0.41306087536539887</v>
      </c>
      <c r="AH68" s="28">
        <f t="shared" si="49"/>
        <v>0</v>
      </c>
      <c r="AI68" s="28">
        <f t="shared" si="50"/>
        <v>0.12059800083105997</v>
      </c>
      <c r="AJ68" s="28">
        <f t="shared" si="51"/>
        <v>-0.12059800083105997</v>
      </c>
      <c r="AN68" s="64">
        <f>+COUNTIFS(FieldWy!A:A,H68,FieldWy!F:F,"&lt;&gt;")</f>
        <v>0</v>
      </c>
      <c r="AO68" s="86">
        <f t="shared" si="52"/>
        <v>0</v>
      </c>
      <c r="AP68" s="64">
        <f>+COUNTIFS(FieldWy!A:A,H68,FieldWy!F:F,"&lt;&gt;",FieldWy!AA:AA,"true")</f>
        <v>0</v>
      </c>
      <c r="AQ68" s="86">
        <f t="shared" si="53"/>
        <v>0</v>
      </c>
      <c r="AR68" s="64">
        <f>+COUNTIFS(FieldWy!A:A,H68,FieldWy!F:F,"&lt;&gt;",FieldWy!X:X,"PORTABILIDAD")</f>
        <v>0</v>
      </c>
      <c r="AS68" s="64">
        <f t="shared" si="54"/>
        <v>0</v>
      </c>
      <c r="AT68" s="64">
        <f t="shared" si="32"/>
        <v>0</v>
      </c>
      <c r="AU68" s="86">
        <f t="shared" si="55"/>
        <v>0</v>
      </c>
    </row>
    <row r="69" spans="1:47" hidden="1" x14ac:dyDescent="0.2">
      <c r="A69" t="s">
        <v>455</v>
      </c>
      <c r="B69" t="s">
        <v>451</v>
      </c>
      <c r="C69" s="43">
        <v>1</v>
      </c>
      <c r="H69">
        <v>2092447</v>
      </c>
      <c r="I69" t="s">
        <v>424</v>
      </c>
      <c r="J69" t="s">
        <v>472</v>
      </c>
      <c r="K69" s="43" t="s">
        <v>281</v>
      </c>
      <c r="L69" s="66">
        <f t="shared" si="34"/>
        <v>0</v>
      </c>
      <c r="M69" s="77">
        <f>SUM(Altas!E66:AI66)</f>
        <v>0</v>
      </c>
      <c r="N69" s="77">
        <f>VLOOKUP(H69,Cuota!$D:$DU,119,0)</f>
        <v>1.3597806269272565</v>
      </c>
      <c r="O69" s="77">
        <f t="shared" si="35"/>
        <v>-1.3597806269272565</v>
      </c>
      <c r="P69" s="66">
        <f t="shared" si="36"/>
        <v>0</v>
      </c>
      <c r="Q69" s="77">
        <f>+SUM(Altas!E113:AI113)</f>
        <v>0</v>
      </c>
      <c r="R69" s="77">
        <f>VLOOKUP(H69,Tabla2[[#All],[IDPV]:[PP VOZ]],120,0)</f>
        <v>0.55074783382053183</v>
      </c>
      <c r="S69" s="77">
        <f t="shared" si="37"/>
        <v>-0.55074783382053183</v>
      </c>
      <c r="T69" s="66">
        <f t="shared" si="38"/>
        <v>0</v>
      </c>
      <c r="U69" s="78">
        <f>+SUM(Altas!E160:AI160)</f>
        <v>0</v>
      </c>
      <c r="V69" s="77">
        <f>VLOOKUP(H69,Tabla2[[#All],[IDPV]:[PP VOZ]],121,0)</f>
        <v>0.12059800083105997</v>
      </c>
      <c r="W69" s="77">
        <f t="shared" si="39"/>
        <v>-0.12059800083105997</v>
      </c>
      <c r="X69" s="66">
        <f t="shared" si="40"/>
        <v>0</v>
      </c>
      <c r="Y69" s="77">
        <f t="shared" si="41"/>
        <v>0</v>
      </c>
      <c r="Z69" s="77">
        <f>VLOOKUP(H69,Tabla2[[#All],[IDPV]:[PP VOZ]],122,0)</f>
        <v>0.68843479227566473</v>
      </c>
      <c r="AA69" s="77">
        <f t="shared" si="42"/>
        <v>-0.68843479227566473</v>
      </c>
      <c r="AB69" s="28">
        <f t="shared" si="43"/>
        <v>0</v>
      </c>
      <c r="AC69" s="28">
        <f t="shared" si="44"/>
        <v>1.3597806269272565</v>
      </c>
      <c r="AD69" s="28">
        <f t="shared" si="45"/>
        <v>-1.3597806269272565</v>
      </c>
      <c r="AE69" s="28">
        <f t="shared" si="46"/>
        <v>0</v>
      </c>
      <c r="AF69" s="28">
        <f t="shared" si="47"/>
        <v>0.55074783382053183</v>
      </c>
      <c r="AG69" s="28">
        <f t="shared" si="48"/>
        <v>-0.55074783382053183</v>
      </c>
      <c r="AH69" s="28">
        <f t="shared" si="49"/>
        <v>0</v>
      </c>
      <c r="AI69" s="28">
        <f t="shared" si="50"/>
        <v>0.12059800083105997</v>
      </c>
      <c r="AJ69" s="28">
        <f t="shared" si="51"/>
        <v>-0.12059800083105997</v>
      </c>
      <c r="AN69" s="64">
        <f>+COUNTIFS(FieldWy!A:A,H69,FieldWy!F:F,"&lt;&gt;")</f>
        <v>0</v>
      </c>
      <c r="AO69" s="86">
        <f t="shared" si="52"/>
        <v>0</v>
      </c>
      <c r="AP69" s="64">
        <f>+COUNTIFS(FieldWy!A:A,H69,FieldWy!F:F,"&lt;&gt;",FieldWy!AA:AA,"true")</f>
        <v>0</v>
      </c>
      <c r="AQ69" s="86">
        <f t="shared" si="53"/>
        <v>0</v>
      </c>
      <c r="AR69" s="64">
        <f>+COUNTIFS(FieldWy!A:A,H69,FieldWy!F:F,"&lt;&gt;",FieldWy!X:X,"PORTABILIDAD")</f>
        <v>0</v>
      </c>
      <c r="AS69" s="64">
        <f t="shared" si="54"/>
        <v>0</v>
      </c>
      <c r="AT69" s="64">
        <f t="shared" si="32"/>
        <v>0</v>
      </c>
      <c r="AU69" s="86">
        <f t="shared" si="55"/>
        <v>0</v>
      </c>
    </row>
    <row r="70" spans="1:47" hidden="1" x14ac:dyDescent="0.2">
      <c r="A70" t="s">
        <v>458</v>
      </c>
      <c r="B70" t="s">
        <v>452</v>
      </c>
      <c r="C70" s="43">
        <v>1</v>
      </c>
      <c r="H70">
        <v>2092457</v>
      </c>
      <c r="I70" t="s">
        <v>425</v>
      </c>
      <c r="J70" t="s">
        <v>473</v>
      </c>
      <c r="K70" s="43" t="s">
        <v>281</v>
      </c>
      <c r="L70" s="66">
        <f t="shared" ref="L70:L101" si="57">+IFERROR(M70/N70,0)</f>
        <v>0</v>
      </c>
      <c r="M70" s="77">
        <f>SUM(Altas!E67:AI67)</f>
        <v>0</v>
      </c>
      <c r="N70" s="77">
        <f>VLOOKUP(H70,Cuota!$D:$DU,119,0)</f>
        <v>1.4974675853823896</v>
      </c>
      <c r="O70" s="77">
        <f t="shared" ref="O70:O101" si="58">+M70-N70</f>
        <v>-1.4974675853823896</v>
      </c>
      <c r="P70" s="66">
        <f t="shared" ref="P70:P101" si="59">+IFERROR(Q70/R70,0)</f>
        <v>0</v>
      </c>
      <c r="Q70" s="77">
        <f>+SUM(Altas!E114:AI114)</f>
        <v>0</v>
      </c>
      <c r="R70" s="77">
        <f>VLOOKUP(H70,Tabla2[[#All],[IDPV]:[PP VOZ]],120,0)</f>
        <v>0.82612175073079774</v>
      </c>
      <c r="S70" s="77">
        <f t="shared" ref="S70:S101" si="60">+Q70-R70</f>
        <v>-0.82612175073079774</v>
      </c>
      <c r="T70" s="66">
        <f t="shared" ref="T70:T101" si="61">+IFERROR(U70/V70,0)</f>
        <v>0</v>
      </c>
      <c r="U70" s="78">
        <f>+SUM(Altas!E161:AI161)</f>
        <v>0</v>
      </c>
      <c r="V70" s="77">
        <f>VLOOKUP(H70,Tabla2[[#All],[IDPV]:[PP VOZ]],121,0)</f>
        <v>0.12059800083105997</v>
      </c>
      <c r="W70" s="77">
        <f t="shared" ref="W70:W101" si="62">+U70-V70</f>
        <v>-0.12059800083105997</v>
      </c>
      <c r="X70" s="66">
        <f t="shared" ref="X70:X101" si="63">+IFERROR(Y70/Z70,0)</f>
        <v>0</v>
      </c>
      <c r="Y70" s="77">
        <f t="shared" ref="Y70:Y101" si="64">+M70-(Q70+U70)</f>
        <v>0</v>
      </c>
      <c r="Z70" s="77">
        <f>VLOOKUP(H70,Tabla2[[#All],[IDPV]:[PP VOZ]],122,0)</f>
        <v>0.55074783382053183</v>
      </c>
      <c r="AA70" s="77">
        <f t="shared" ref="AA70:AA101" si="65">+Y70-Z70</f>
        <v>-0.55074783382053183</v>
      </c>
      <c r="AB70" s="28">
        <f t="shared" ref="AB70:AB101" si="66">+M70/$F$3</f>
        <v>0</v>
      </c>
      <c r="AC70" s="28">
        <f t="shared" ref="AC70:AC101" si="67">+N70/$F$3</f>
        <v>1.4974675853823896</v>
      </c>
      <c r="AD70" s="28">
        <f t="shared" ref="AD70:AD101" si="68">+AB70-AC70</f>
        <v>-1.4974675853823896</v>
      </c>
      <c r="AE70" s="28">
        <f t="shared" ref="AE70:AE101" si="69">+Q70/$F$3</f>
        <v>0</v>
      </c>
      <c r="AF70" s="28">
        <f t="shared" ref="AF70:AF101" si="70">+R70/$F$3</f>
        <v>0.82612175073079774</v>
      </c>
      <c r="AG70" s="28">
        <f t="shared" ref="AG70:AG101" si="71">+AE70-AF70</f>
        <v>-0.82612175073079774</v>
      </c>
      <c r="AH70" s="28">
        <f t="shared" ref="AH70:AH101" si="72">+U70/$F$3</f>
        <v>0</v>
      </c>
      <c r="AI70" s="28">
        <f t="shared" ref="AI70:AI101" si="73">+V70/$F$3</f>
        <v>0.12059800083105997</v>
      </c>
      <c r="AJ70" s="28">
        <f t="shared" ref="AJ70:AJ101" si="74">+AH70-AI70</f>
        <v>-0.12059800083105997</v>
      </c>
      <c r="AN70" s="64">
        <f>+COUNTIFS(FieldWy!A:A,H70,FieldWy!F:F,"&lt;&gt;")</f>
        <v>0</v>
      </c>
      <c r="AO70" s="86">
        <f t="shared" ref="AO70:AO101" si="75">+M70-AN70</f>
        <v>0</v>
      </c>
      <c r="AP70" s="64">
        <f>+COUNTIFS(FieldWy!A:A,H70,FieldWy!F:F,"&lt;&gt;",FieldWy!AA:AA,"true")</f>
        <v>0</v>
      </c>
      <c r="AQ70" s="86">
        <f t="shared" ref="AQ70:AQ101" si="76">+Q70-AP70</f>
        <v>0</v>
      </c>
      <c r="AR70" s="64">
        <f>+COUNTIFS(FieldWy!A:A,H70,FieldWy!F:F,"&lt;&gt;",FieldWy!X:X,"PORTABILIDAD")</f>
        <v>0</v>
      </c>
      <c r="AS70" s="64">
        <f t="shared" ref="AS70:AS101" si="77">+U70+AR70</f>
        <v>0</v>
      </c>
      <c r="AT70" s="64">
        <f t="shared" si="32"/>
        <v>0</v>
      </c>
      <c r="AU70" s="86">
        <f t="shared" ref="AU70:AU101" si="78">+Y70-AT70</f>
        <v>0</v>
      </c>
    </row>
    <row r="71" spans="1:47" hidden="1" x14ac:dyDescent="0.2">
      <c r="A71" t="s">
        <v>455</v>
      </c>
      <c r="B71" t="s">
        <v>450</v>
      </c>
      <c r="C71" s="43">
        <v>1</v>
      </c>
      <c r="H71">
        <v>2092781</v>
      </c>
      <c r="I71" t="s">
        <v>426</v>
      </c>
      <c r="J71" t="s">
        <v>474</v>
      </c>
      <c r="K71" s="43" t="s">
        <v>281</v>
      </c>
      <c r="L71" s="66">
        <f t="shared" si="57"/>
        <v>0</v>
      </c>
      <c r="M71" s="77">
        <f>SUM(Altas!E68:AI68)</f>
        <v>0</v>
      </c>
      <c r="N71" s="77">
        <f>VLOOKUP(H71,Cuota!$D:$DU,119,0)</f>
        <v>1.2220936684721235</v>
      </c>
      <c r="O71" s="77">
        <f t="shared" si="58"/>
        <v>-1.2220936684721235</v>
      </c>
      <c r="P71" s="66">
        <f t="shared" si="59"/>
        <v>0</v>
      </c>
      <c r="Q71" s="77">
        <f>+SUM(Altas!E115:AI115)</f>
        <v>0</v>
      </c>
      <c r="R71" s="77">
        <f>VLOOKUP(H71,Tabla2[[#All],[IDPV]:[PP VOZ]],120,0)</f>
        <v>0.55074783382053183</v>
      </c>
      <c r="S71" s="77">
        <f t="shared" si="60"/>
        <v>-0.55074783382053183</v>
      </c>
      <c r="T71" s="66">
        <f t="shared" si="61"/>
        <v>0</v>
      </c>
      <c r="U71" s="78">
        <f>+SUM(Altas!E162:AI162)</f>
        <v>0</v>
      </c>
      <c r="V71" s="77">
        <f>VLOOKUP(H71,Tabla2[[#All],[IDPV]:[PP VOZ]],121,0)</f>
        <v>0.12059800083105997</v>
      </c>
      <c r="W71" s="77">
        <f t="shared" si="62"/>
        <v>-0.12059800083105997</v>
      </c>
      <c r="X71" s="66">
        <f t="shared" si="63"/>
        <v>0</v>
      </c>
      <c r="Y71" s="77">
        <f t="shared" si="64"/>
        <v>0</v>
      </c>
      <c r="Z71" s="77">
        <f>VLOOKUP(H71,Tabla2[[#All],[IDPV]:[PP VOZ]],122,0)</f>
        <v>0.55074783382053172</v>
      </c>
      <c r="AA71" s="77">
        <f t="shared" si="65"/>
        <v>-0.55074783382053172</v>
      </c>
      <c r="AB71" s="28">
        <f t="shared" si="66"/>
        <v>0</v>
      </c>
      <c r="AC71" s="28">
        <f t="shared" si="67"/>
        <v>1.2220936684721235</v>
      </c>
      <c r="AD71" s="28">
        <f t="shared" si="68"/>
        <v>-1.2220936684721235</v>
      </c>
      <c r="AE71" s="28">
        <f t="shared" si="69"/>
        <v>0</v>
      </c>
      <c r="AF71" s="28">
        <f t="shared" si="70"/>
        <v>0.55074783382053183</v>
      </c>
      <c r="AG71" s="28">
        <f t="shared" si="71"/>
        <v>-0.55074783382053183</v>
      </c>
      <c r="AH71" s="28">
        <f t="shared" si="72"/>
        <v>0</v>
      </c>
      <c r="AI71" s="28">
        <f t="shared" si="73"/>
        <v>0.12059800083105997</v>
      </c>
      <c r="AJ71" s="28">
        <f t="shared" si="74"/>
        <v>-0.12059800083105997</v>
      </c>
      <c r="AN71" s="64">
        <f>+COUNTIFS(FieldWy!A:A,H71,FieldWy!F:F,"&lt;&gt;")</f>
        <v>0</v>
      </c>
      <c r="AO71" s="86">
        <f t="shared" si="75"/>
        <v>0</v>
      </c>
      <c r="AP71" s="64">
        <f>+COUNTIFS(FieldWy!A:A,H71,FieldWy!F:F,"&lt;&gt;",FieldWy!AA:AA,"true")</f>
        <v>0</v>
      </c>
      <c r="AQ71" s="86">
        <f t="shared" si="76"/>
        <v>0</v>
      </c>
      <c r="AR71" s="64">
        <f>+COUNTIFS(FieldWy!A:A,H71,FieldWy!F:F,"&lt;&gt;",FieldWy!X:X,"PORTABILIDAD")</f>
        <v>0</v>
      </c>
      <c r="AS71" s="64">
        <f t="shared" si="77"/>
        <v>0</v>
      </c>
      <c r="AT71" s="64">
        <f t="shared" ref="AT71:AT111" si="79">+AN71-(AP71+AR71)</f>
        <v>0</v>
      </c>
      <c r="AU71" s="86">
        <f t="shared" si="78"/>
        <v>0</v>
      </c>
    </row>
    <row r="72" spans="1:47" hidden="1" x14ac:dyDescent="0.2">
      <c r="A72" t="s">
        <v>457</v>
      </c>
      <c r="B72" t="s">
        <v>453</v>
      </c>
      <c r="C72" s="43">
        <v>1</v>
      </c>
      <c r="H72">
        <v>2092784</v>
      </c>
      <c r="I72" t="s">
        <v>427</v>
      </c>
      <c r="J72" t="s">
        <v>470</v>
      </c>
      <c r="K72" s="43" t="s">
        <v>281</v>
      </c>
      <c r="L72" s="66">
        <f t="shared" si="57"/>
        <v>0</v>
      </c>
      <c r="M72" s="77">
        <f>SUM(Altas!E69:AI69)</f>
        <v>0</v>
      </c>
      <c r="N72" s="77">
        <f>VLOOKUP(H72,Cuota!$D:$DU,119,0)</f>
        <v>1.1014956676410637</v>
      </c>
      <c r="O72" s="77">
        <f t="shared" si="58"/>
        <v>-1.1014956676410637</v>
      </c>
      <c r="P72" s="66">
        <f t="shared" si="59"/>
        <v>0</v>
      </c>
      <c r="Q72" s="77">
        <f>+SUM(Altas!E116:AI116)</f>
        <v>0</v>
      </c>
      <c r="R72" s="77">
        <f>VLOOKUP(H72,Tabla2[[#All],[IDPV]:[PP VOZ]],120,0)</f>
        <v>0.13768695845513296</v>
      </c>
      <c r="S72" s="77">
        <f t="shared" si="60"/>
        <v>-0.13768695845513296</v>
      </c>
      <c r="T72" s="66">
        <f t="shared" si="61"/>
        <v>0</v>
      </c>
      <c r="U72" s="78">
        <f>+SUM(Altas!E163:AI163)</f>
        <v>0</v>
      </c>
      <c r="V72" s="77">
        <f>VLOOKUP(H72,Tabla2[[#All],[IDPV]:[PP VOZ]],121,0)</f>
        <v>0</v>
      </c>
      <c r="W72" s="77">
        <f t="shared" si="62"/>
        <v>0</v>
      </c>
      <c r="X72" s="66">
        <f t="shared" si="63"/>
        <v>0</v>
      </c>
      <c r="Y72" s="77">
        <f t="shared" si="64"/>
        <v>0</v>
      </c>
      <c r="Z72" s="77">
        <f>VLOOKUP(H72,Tabla2[[#All],[IDPV]:[PP VOZ]],122,0)</f>
        <v>0.96380870918593065</v>
      </c>
      <c r="AA72" s="77">
        <f t="shared" si="65"/>
        <v>-0.96380870918593065</v>
      </c>
      <c r="AB72" s="28">
        <f t="shared" si="66"/>
        <v>0</v>
      </c>
      <c r="AC72" s="28">
        <f t="shared" si="67"/>
        <v>1.1014956676410637</v>
      </c>
      <c r="AD72" s="28">
        <f t="shared" si="68"/>
        <v>-1.1014956676410637</v>
      </c>
      <c r="AE72" s="28">
        <f t="shared" si="69"/>
        <v>0</v>
      </c>
      <c r="AF72" s="28">
        <f t="shared" si="70"/>
        <v>0.13768695845513296</v>
      </c>
      <c r="AG72" s="28">
        <f t="shared" si="71"/>
        <v>-0.13768695845513296</v>
      </c>
      <c r="AH72" s="28">
        <f t="shared" si="72"/>
        <v>0</v>
      </c>
      <c r="AI72" s="28">
        <f t="shared" si="73"/>
        <v>0</v>
      </c>
      <c r="AJ72" s="28">
        <f t="shared" si="74"/>
        <v>0</v>
      </c>
      <c r="AN72" s="64">
        <f>+COUNTIFS(FieldWy!A:A,H72,FieldWy!F:F,"&lt;&gt;")</f>
        <v>0</v>
      </c>
      <c r="AO72" s="86">
        <f t="shared" si="75"/>
        <v>0</v>
      </c>
      <c r="AP72" s="64">
        <f>+COUNTIFS(FieldWy!A:A,H72,FieldWy!F:F,"&lt;&gt;",FieldWy!AA:AA,"true")</f>
        <v>0</v>
      </c>
      <c r="AQ72" s="86">
        <f t="shared" si="76"/>
        <v>0</v>
      </c>
      <c r="AR72" s="64">
        <f>+COUNTIFS(FieldWy!A:A,H72,FieldWy!F:F,"&lt;&gt;",FieldWy!X:X,"PORTABILIDAD")</f>
        <v>0</v>
      </c>
      <c r="AS72" s="64">
        <f t="shared" si="77"/>
        <v>0</v>
      </c>
      <c r="AT72" s="64">
        <f t="shared" si="79"/>
        <v>0</v>
      </c>
      <c r="AU72" s="86">
        <f t="shared" si="78"/>
        <v>0</v>
      </c>
    </row>
    <row r="73" spans="1:47" hidden="1" x14ac:dyDescent="0.2">
      <c r="A73" t="s">
        <v>458</v>
      </c>
      <c r="B73" t="s">
        <v>452</v>
      </c>
      <c r="C73" s="43">
        <v>1</v>
      </c>
      <c r="H73">
        <v>2092790</v>
      </c>
      <c r="I73" t="s">
        <v>428</v>
      </c>
      <c r="J73" t="s">
        <v>473</v>
      </c>
      <c r="K73" s="43" t="s">
        <v>280</v>
      </c>
      <c r="L73" s="66">
        <f t="shared" si="57"/>
        <v>0</v>
      </c>
      <c r="M73" s="77">
        <f>SUM(Altas!E70:AI70)</f>
        <v>0</v>
      </c>
      <c r="N73" s="77">
        <f>VLOOKUP(H73,Cuota!$D:$DU,119,0)</f>
        <v>4.8019545883055805</v>
      </c>
      <c r="O73" s="77">
        <f t="shared" si="58"/>
        <v>-4.8019545883055805</v>
      </c>
      <c r="P73" s="66">
        <f t="shared" si="59"/>
        <v>0</v>
      </c>
      <c r="Q73" s="77">
        <f>+SUM(Altas!E117:AI117)</f>
        <v>0</v>
      </c>
      <c r="R73" s="77">
        <f>VLOOKUP(H73,Tabla2[[#All],[IDPV]:[PP VOZ]],120,0)</f>
        <v>3.8552348367437226</v>
      </c>
      <c r="S73" s="77">
        <f t="shared" si="60"/>
        <v>-3.8552348367437226</v>
      </c>
      <c r="T73" s="66">
        <f t="shared" si="61"/>
        <v>0</v>
      </c>
      <c r="U73" s="78">
        <f>+SUM(Altas!E164:AI164)</f>
        <v>0</v>
      </c>
      <c r="V73" s="77">
        <f>VLOOKUP(H73,Tabla2[[#All],[IDPV]:[PP VOZ]],121,0)</f>
        <v>0.12059800083105997</v>
      </c>
      <c r="W73" s="77">
        <f t="shared" si="62"/>
        <v>-0.12059800083105997</v>
      </c>
      <c r="X73" s="66">
        <f t="shared" si="63"/>
        <v>0</v>
      </c>
      <c r="Y73" s="77">
        <f t="shared" si="64"/>
        <v>0</v>
      </c>
      <c r="Z73" s="77">
        <f>VLOOKUP(H73,Tabla2[[#All],[IDPV]:[PP VOZ]],122,0)</f>
        <v>0.82612175073079808</v>
      </c>
      <c r="AA73" s="77">
        <f t="shared" si="65"/>
        <v>-0.82612175073079808</v>
      </c>
      <c r="AB73" s="28">
        <f t="shared" si="66"/>
        <v>0</v>
      </c>
      <c r="AC73" s="28">
        <f t="shared" si="67"/>
        <v>4.8019545883055805</v>
      </c>
      <c r="AD73" s="28">
        <f t="shared" si="68"/>
        <v>-4.8019545883055805</v>
      </c>
      <c r="AE73" s="28">
        <f t="shared" si="69"/>
        <v>0</v>
      </c>
      <c r="AF73" s="28">
        <f t="shared" si="70"/>
        <v>3.8552348367437226</v>
      </c>
      <c r="AG73" s="28">
        <f t="shared" si="71"/>
        <v>-3.8552348367437226</v>
      </c>
      <c r="AH73" s="28">
        <f t="shared" si="72"/>
        <v>0</v>
      </c>
      <c r="AI73" s="28">
        <f t="shared" si="73"/>
        <v>0.12059800083105997</v>
      </c>
      <c r="AJ73" s="28">
        <f t="shared" si="74"/>
        <v>-0.12059800083105997</v>
      </c>
      <c r="AN73" s="64">
        <f>+COUNTIFS(FieldWy!A:A,H73,FieldWy!F:F,"&lt;&gt;")</f>
        <v>0</v>
      </c>
      <c r="AO73" s="86">
        <f t="shared" si="75"/>
        <v>0</v>
      </c>
      <c r="AP73" s="64">
        <f>+COUNTIFS(FieldWy!A:A,H73,FieldWy!F:F,"&lt;&gt;",FieldWy!AA:AA,"true")</f>
        <v>0</v>
      </c>
      <c r="AQ73" s="86">
        <f t="shared" si="76"/>
        <v>0</v>
      </c>
      <c r="AR73" s="64">
        <f>+COUNTIFS(FieldWy!A:A,H73,FieldWy!F:F,"&lt;&gt;",FieldWy!X:X,"PORTABILIDAD")</f>
        <v>0</v>
      </c>
      <c r="AS73" s="64">
        <f t="shared" si="77"/>
        <v>0</v>
      </c>
      <c r="AT73" s="64">
        <f t="shared" si="79"/>
        <v>0</v>
      </c>
      <c r="AU73" s="86">
        <f t="shared" si="78"/>
        <v>0</v>
      </c>
    </row>
    <row r="74" spans="1:47" hidden="1" x14ac:dyDescent="0.2">
      <c r="A74" t="s">
        <v>458</v>
      </c>
      <c r="B74" t="s">
        <v>452</v>
      </c>
      <c r="C74" s="43">
        <v>1</v>
      </c>
      <c r="H74">
        <v>2092797</v>
      </c>
      <c r="I74" t="s">
        <v>429</v>
      </c>
      <c r="J74" t="s">
        <v>475</v>
      </c>
      <c r="K74" s="43" t="s">
        <v>280</v>
      </c>
      <c r="L74" s="66">
        <f t="shared" si="57"/>
        <v>0</v>
      </c>
      <c r="M74" s="77">
        <f>SUM(Altas!E71:AI71)</f>
        <v>0</v>
      </c>
      <c r="N74" s="77">
        <f>VLOOKUP(H74,Cuota!$D:$DU,119,0)</f>
        <v>3.992921795198856</v>
      </c>
      <c r="O74" s="77">
        <f t="shared" si="58"/>
        <v>-3.992921795198856</v>
      </c>
      <c r="P74" s="66">
        <f t="shared" si="59"/>
        <v>0</v>
      </c>
      <c r="Q74" s="77">
        <f>+SUM(Altas!E118:AI118)</f>
        <v>0</v>
      </c>
      <c r="R74" s="77">
        <f>VLOOKUP(H74,Tabla2[[#All],[IDPV]:[PP VOZ]],120,0)</f>
        <v>2.6160522106475264</v>
      </c>
      <c r="S74" s="77">
        <f t="shared" si="60"/>
        <v>-2.6160522106475264</v>
      </c>
      <c r="T74" s="66">
        <f t="shared" si="61"/>
        <v>0</v>
      </c>
      <c r="U74" s="78">
        <f>+SUM(Altas!E165:AI165)</f>
        <v>0</v>
      </c>
      <c r="V74" s="77">
        <f>VLOOKUP(H74,Tabla2[[#All],[IDPV]:[PP VOZ]],121,0)</f>
        <v>0</v>
      </c>
      <c r="W74" s="77">
        <f t="shared" si="62"/>
        <v>0</v>
      </c>
      <c r="X74" s="66">
        <f t="shared" si="63"/>
        <v>0</v>
      </c>
      <c r="Y74" s="77">
        <f t="shared" si="64"/>
        <v>0</v>
      </c>
      <c r="Z74" s="77">
        <f>VLOOKUP(H74,Tabla2[[#All],[IDPV]:[PP VOZ]],122,0)</f>
        <v>1.3768695845513297</v>
      </c>
      <c r="AA74" s="77">
        <f t="shared" si="65"/>
        <v>-1.3768695845513297</v>
      </c>
      <c r="AB74" s="28">
        <f t="shared" si="66"/>
        <v>0</v>
      </c>
      <c r="AC74" s="28">
        <f t="shared" si="67"/>
        <v>3.992921795198856</v>
      </c>
      <c r="AD74" s="28">
        <f t="shared" si="68"/>
        <v>-3.992921795198856</v>
      </c>
      <c r="AE74" s="28">
        <f t="shared" si="69"/>
        <v>0</v>
      </c>
      <c r="AF74" s="28">
        <f t="shared" si="70"/>
        <v>2.6160522106475264</v>
      </c>
      <c r="AG74" s="28">
        <f t="shared" si="71"/>
        <v>-2.6160522106475264</v>
      </c>
      <c r="AH74" s="28">
        <f t="shared" si="72"/>
        <v>0</v>
      </c>
      <c r="AI74" s="28">
        <f t="shared" si="73"/>
        <v>0</v>
      </c>
      <c r="AJ74" s="28">
        <f t="shared" si="74"/>
        <v>0</v>
      </c>
      <c r="AN74" s="64">
        <f>+COUNTIFS(FieldWy!A:A,H74,FieldWy!F:F,"&lt;&gt;")</f>
        <v>0</v>
      </c>
      <c r="AO74" s="86">
        <f t="shared" si="75"/>
        <v>0</v>
      </c>
      <c r="AP74" s="64">
        <f>+COUNTIFS(FieldWy!A:A,H74,FieldWy!F:F,"&lt;&gt;",FieldWy!AA:AA,"true")</f>
        <v>0</v>
      </c>
      <c r="AQ74" s="86">
        <f t="shared" si="76"/>
        <v>0</v>
      </c>
      <c r="AR74" s="64">
        <f>+COUNTIFS(FieldWy!A:A,H74,FieldWy!F:F,"&lt;&gt;",FieldWy!X:X,"PORTABILIDAD")</f>
        <v>0</v>
      </c>
      <c r="AS74" s="64">
        <f t="shared" si="77"/>
        <v>0</v>
      </c>
      <c r="AT74" s="64">
        <f t="shared" si="79"/>
        <v>0</v>
      </c>
      <c r="AU74" s="86">
        <f t="shared" si="78"/>
        <v>0</v>
      </c>
    </row>
    <row r="75" spans="1:47" hidden="1" x14ac:dyDescent="0.2">
      <c r="A75" t="s">
        <v>455</v>
      </c>
      <c r="B75" t="s">
        <v>451</v>
      </c>
      <c r="C75" s="43">
        <v>1</v>
      </c>
      <c r="H75">
        <v>2092923</v>
      </c>
      <c r="I75" t="s">
        <v>430</v>
      </c>
      <c r="J75" t="s">
        <v>476</v>
      </c>
      <c r="K75" s="43" t="s">
        <v>280</v>
      </c>
      <c r="L75" s="66">
        <f t="shared" si="57"/>
        <v>0</v>
      </c>
      <c r="M75" s="77">
        <f>SUM(Altas!E72:AI72)</f>
        <v>0</v>
      </c>
      <c r="N75" s="77">
        <f>VLOOKUP(H75,Cuota!$D:$DU,119,0)</f>
        <v>1.9105284607477881</v>
      </c>
      <c r="O75" s="77">
        <f t="shared" si="58"/>
        <v>-1.9105284607477881</v>
      </c>
      <c r="P75" s="66">
        <f t="shared" si="59"/>
        <v>0</v>
      </c>
      <c r="Q75" s="77">
        <f>+SUM(Altas!E119:AI119)</f>
        <v>0</v>
      </c>
      <c r="R75" s="77">
        <f>VLOOKUP(H75,Tabla2[[#All],[IDPV]:[PP VOZ]],120,0)</f>
        <v>0.96380870918593065</v>
      </c>
      <c r="S75" s="77">
        <f t="shared" si="60"/>
        <v>-0.96380870918593065</v>
      </c>
      <c r="T75" s="66">
        <f t="shared" si="61"/>
        <v>0</v>
      </c>
      <c r="U75" s="78">
        <f>+SUM(Altas!E166:AI166)</f>
        <v>0</v>
      </c>
      <c r="V75" s="77">
        <f>VLOOKUP(H75,Tabla2[[#All],[IDPV]:[PP VOZ]],121,0)</f>
        <v>0.12059800083105997</v>
      </c>
      <c r="W75" s="77">
        <f t="shared" si="62"/>
        <v>-0.12059800083105997</v>
      </c>
      <c r="X75" s="66">
        <f t="shared" si="63"/>
        <v>0</v>
      </c>
      <c r="Y75" s="77">
        <f t="shared" si="64"/>
        <v>0</v>
      </c>
      <c r="Z75" s="77">
        <f>VLOOKUP(H75,Tabla2[[#All],[IDPV]:[PP VOZ]],122,0)</f>
        <v>0.82612175073079763</v>
      </c>
      <c r="AA75" s="77">
        <f t="shared" si="65"/>
        <v>-0.82612175073079763</v>
      </c>
      <c r="AB75" s="28">
        <f t="shared" si="66"/>
        <v>0</v>
      </c>
      <c r="AC75" s="28">
        <f t="shared" si="67"/>
        <v>1.9105284607477881</v>
      </c>
      <c r="AD75" s="28">
        <f t="shared" si="68"/>
        <v>-1.9105284607477881</v>
      </c>
      <c r="AE75" s="28">
        <f t="shared" si="69"/>
        <v>0</v>
      </c>
      <c r="AF75" s="28">
        <f t="shared" si="70"/>
        <v>0.96380870918593065</v>
      </c>
      <c r="AG75" s="28">
        <f t="shared" si="71"/>
        <v>-0.96380870918593065</v>
      </c>
      <c r="AH75" s="28">
        <f t="shared" si="72"/>
        <v>0</v>
      </c>
      <c r="AI75" s="28">
        <f t="shared" si="73"/>
        <v>0.12059800083105997</v>
      </c>
      <c r="AJ75" s="28">
        <f t="shared" si="74"/>
        <v>-0.12059800083105997</v>
      </c>
      <c r="AN75" s="64">
        <f>+COUNTIFS(FieldWy!A:A,H75,FieldWy!F:F,"&lt;&gt;")</f>
        <v>0</v>
      </c>
      <c r="AO75" s="86">
        <f t="shared" si="75"/>
        <v>0</v>
      </c>
      <c r="AP75" s="64">
        <f>+COUNTIFS(FieldWy!A:A,H75,FieldWy!F:F,"&lt;&gt;",FieldWy!AA:AA,"true")</f>
        <v>0</v>
      </c>
      <c r="AQ75" s="86">
        <f t="shared" si="76"/>
        <v>0</v>
      </c>
      <c r="AR75" s="64">
        <f>+COUNTIFS(FieldWy!A:A,H75,FieldWy!F:F,"&lt;&gt;",FieldWy!X:X,"PORTABILIDAD")</f>
        <v>0</v>
      </c>
      <c r="AS75" s="64">
        <f t="shared" si="77"/>
        <v>0</v>
      </c>
      <c r="AT75" s="64">
        <f t="shared" si="79"/>
        <v>0</v>
      </c>
      <c r="AU75" s="86">
        <f t="shared" si="78"/>
        <v>0</v>
      </c>
    </row>
    <row r="76" spans="1:47" x14ac:dyDescent="0.2">
      <c r="A76" s="43" t="s">
        <v>99</v>
      </c>
      <c r="B76" s="43" t="s">
        <v>127</v>
      </c>
      <c r="C76" s="43">
        <v>1</v>
      </c>
      <c r="D76" s="43" t="s">
        <v>382</v>
      </c>
      <c r="E76" s="43"/>
      <c r="F76" s="43"/>
      <c r="G76" s="43" t="s">
        <v>324</v>
      </c>
      <c r="H76" s="43">
        <v>2092936</v>
      </c>
      <c r="I76" s="43" t="s">
        <v>114</v>
      </c>
      <c r="J76" s="43" t="s">
        <v>34</v>
      </c>
      <c r="K76" s="43" t="s">
        <v>7</v>
      </c>
      <c r="L76" s="66">
        <f t="shared" si="57"/>
        <v>0</v>
      </c>
      <c r="M76" s="77">
        <f>SUM(Altas!E73:AI73)</f>
        <v>0</v>
      </c>
      <c r="N76" s="77">
        <f>VLOOKUP(H76,Cuota!$D:$DU,119,0)</f>
        <v>0.94671975156185773</v>
      </c>
      <c r="O76" s="77">
        <f t="shared" si="58"/>
        <v>-0.94671975156185773</v>
      </c>
      <c r="P76" s="66">
        <f t="shared" si="59"/>
        <v>0</v>
      </c>
      <c r="Q76" s="77">
        <f>+SUM(Altas!E120:AI120)</f>
        <v>0</v>
      </c>
      <c r="R76" s="77">
        <f>VLOOKUP(H76,Tabla2[[#All],[IDPV]:[PP VOZ]],120,0)</f>
        <v>0.41306087536539887</v>
      </c>
      <c r="S76" s="77">
        <f t="shared" si="60"/>
        <v>-0.41306087536539887</v>
      </c>
      <c r="T76" s="66">
        <f t="shared" si="61"/>
        <v>0</v>
      </c>
      <c r="U76" s="78">
        <f>+SUM(Altas!E167:AI167)</f>
        <v>0</v>
      </c>
      <c r="V76" s="77">
        <f>VLOOKUP(H76,Tabla2[[#All],[IDPV]:[PP VOZ]],121,0)</f>
        <v>0.12059800083105997</v>
      </c>
      <c r="W76" s="77">
        <f t="shared" si="62"/>
        <v>-0.12059800083105997</v>
      </c>
      <c r="X76" s="66">
        <f t="shared" si="63"/>
        <v>0</v>
      </c>
      <c r="Y76" s="77">
        <f t="shared" si="64"/>
        <v>0</v>
      </c>
      <c r="Z76" s="77">
        <f>VLOOKUP(H76,Tabla2[[#All],[IDPV]:[PP VOZ]],122,0)</f>
        <v>0.41306087536539893</v>
      </c>
      <c r="AA76" s="77">
        <f t="shared" si="65"/>
        <v>-0.41306087536539893</v>
      </c>
      <c r="AB76" s="28">
        <f t="shared" si="66"/>
        <v>0</v>
      </c>
      <c r="AC76" s="28">
        <f t="shared" si="67"/>
        <v>0.94671975156185773</v>
      </c>
      <c r="AD76" s="28">
        <f t="shared" si="68"/>
        <v>-0.94671975156185773</v>
      </c>
      <c r="AE76" s="28">
        <f t="shared" si="69"/>
        <v>0</v>
      </c>
      <c r="AF76" s="28">
        <f t="shared" si="70"/>
        <v>0.41306087536539887</v>
      </c>
      <c r="AG76" s="28">
        <f t="shared" si="71"/>
        <v>-0.41306087536539887</v>
      </c>
      <c r="AH76" s="28">
        <f t="shared" si="72"/>
        <v>0</v>
      </c>
      <c r="AI76" s="28">
        <f t="shared" si="73"/>
        <v>0.12059800083105997</v>
      </c>
      <c r="AJ76" s="28">
        <f t="shared" si="74"/>
        <v>-0.12059800083105997</v>
      </c>
      <c r="AK76" s="28" t="e">
        <f>+Y76/#REF!</f>
        <v>#REF!</v>
      </c>
      <c r="AL76" s="28" t="e">
        <f>+Z76/#REF!</f>
        <v>#REF!</v>
      </c>
      <c r="AM76" s="28" t="e">
        <f>+AK76-AL76</f>
        <v>#REF!</v>
      </c>
      <c r="AN76" s="64">
        <f>+COUNTIFS(FieldWy!A:A,H76,FieldWy!F:F,"&lt;&gt;")</f>
        <v>0</v>
      </c>
      <c r="AO76" s="86">
        <f t="shared" si="75"/>
        <v>0</v>
      </c>
      <c r="AP76" s="64">
        <f>+COUNTIFS(FieldWy!A:A,H76,FieldWy!F:F,"&lt;&gt;",FieldWy!AA:AA,"true")</f>
        <v>0</v>
      </c>
      <c r="AQ76" s="86">
        <f t="shared" si="76"/>
        <v>0</v>
      </c>
      <c r="AR76" s="64">
        <f>+COUNTIFS(FieldWy!A:A,H76,FieldWy!F:F,"&lt;&gt;",FieldWy!X:X,"PORTABILIDAD")</f>
        <v>0</v>
      </c>
      <c r="AS76" s="64">
        <f t="shared" si="77"/>
        <v>0</v>
      </c>
      <c r="AT76" s="64">
        <f t="shared" si="79"/>
        <v>0</v>
      </c>
      <c r="AU76" s="86">
        <f t="shared" si="78"/>
        <v>0</v>
      </c>
    </row>
    <row r="77" spans="1:47" hidden="1" x14ac:dyDescent="0.2">
      <c r="A77" t="s">
        <v>455</v>
      </c>
      <c r="B77" t="s">
        <v>452</v>
      </c>
      <c r="C77" s="43">
        <v>1</v>
      </c>
      <c r="H77">
        <v>2092975</v>
      </c>
      <c r="I77" t="s">
        <v>431</v>
      </c>
      <c r="J77" t="s">
        <v>460</v>
      </c>
      <c r="K77" s="43" t="s">
        <v>280</v>
      </c>
      <c r="L77" s="66">
        <f t="shared" si="57"/>
        <v>0</v>
      </c>
      <c r="M77" s="77">
        <f>SUM(Altas!E74:AI74)</f>
        <v>0</v>
      </c>
      <c r="N77" s="77">
        <f>VLOOKUP(H77,Cuota!$D:$DU,119,0)</f>
        <v>1.7728415022926554</v>
      </c>
      <c r="O77" s="77">
        <f t="shared" si="58"/>
        <v>-1.7728415022926554</v>
      </c>
      <c r="P77" s="66">
        <f t="shared" si="59"/>
        <v>0</v>
      </c>
      <c r="Q77" s="77">
        <f>+SUM(Altas!E121:AI121)</f>
        <v>0</v>
      </c>
      <c r="R77" s="77">
        <f>VLOOKUP(H77,Tabla2[[#All],[IDPV]:[PP VOZ]],120,0)</f>
        <v>0.96380870918593065</v>
      </c>
      <c r="S77" s="77">
        <f t="shared" si="60"/>
        <v>-0.96380870918593065</v>
      </c>
      <c r="T77" s="66">
        <f t="shared" si="61"/>
        <v>0</v>
      </c>
      <c r="U77" s="78">
        <f>+SUM(Altas!E168:AI168)</f>
        <v>0</v>
      </c>
      <c r="V77" s="77">
        <f>VLOOKUP(H77,Tabla2[[#All],[IDPV]:[PP VOZ]],121,0)</f>
        <v>0.12059800083105997</v>
      </c>
      <c r="W77" s="77">
        <f t="shared" si="62"/>
        <v>-0.12059800083105997</v>
      </c>
      <c r="X77" s="66">
        <f t="shared" si="63"/>
        <v>0</v>
      </c>
      <c r="Y77" s="77">
        <f t="shared" si="64"/>
        <v>0</v>
      </c>
      <c r="Z77" s="77">
        <f>VLOOKUP(H77,Tabla2[[#All],[IDPV]:[PP VOZ]],122,0)</f>
        <v>0.68843479227566484</v>
      </c>
      <c r="AA77" s="77">
        <f t="shared" si="65"/>
        <v>-0.68843479227566484</v>
      </c>
      <c r="AB77" s="28">
        <f t="shared" si="66"/>
        <v>0</v>
      </c>
      <c r="AC77" s="28">
        <f t="shared" si="67"/>
        <v>1.7728415022926554</v>
      </c>
      <c r="AD77" s="28">
        <f t="shared" si="68"/>
        <v>-1.7728415022926554</v>
      </c>
      <c r="AE77" s="28">
        <f t="shared" si="69"/>
        <v>0</v>
      </c>
      <c r="AF77" s="28">
        <f t="shared" si="70"/>
        <v>0.96380870918593065</v>
      </c>
      <c r="AG77" s="28">
        <f t="shared" si="71"/>
        <v>-0.96380870918593065</v>
      </c>
      <c r="AH77" s="28">
        <f t="shared" si="72"/>
        <v>0</v>
      </c>
      <c r="AI77" s="28">
        <f t="shared" si="73"/>
        <v>0.12059800083105997</v>
      </c>
      <c r="AJ77" s="28">
        <f t="shared" si="74"/>
        <v>-0.12059800083105997</v>
      </c>
      <c r="AN77" s="64">
        <f>+COUNTIFS(FieldWy!A:A,H77,FieldWy!F:F,"&lt;&gt;")</f>
        <v>0</v>
      </c>
      <c r="AO77" s="86">
        <f t="shared" si="75"/>
        <v>0</v>
      </c>
      <c r="AP77" s="64">
        <f>+COUNTIFS(FieldWy!A:A,H77,FieldWy!F:F,"&lt;&gt;",FieldWy!AA:AA,"true")</f>
        <v>0</v>
      </c>
      <c r="AQ77" s="86">
        <f t="shared" si="76"/>
        <v>0</v>
      </c>
      <c r="AR77" s="64">
        <f>+COUNTIFS(FieldWy!A:A,H77,FieldWy!F:F,"&lt;&gt;",FieldWy!X:X,"PORTABILIDAD")</f>
        <v>0</v>
      </c>
      <c r="AS77" s="64">
        <f t="shared" si="77"/>
        <v>0</v>
      </c>
      <c r="AT77" s="64">
        <f t="shared" si="79"/>
        <v>0</v>
      </c>
      <c r="AU77" s="86">
        <f t="shared" si="78"/>
        <v>0</v>
      </c>
    </row>
    <row r="78" spans="1:47" hidden="1" x14ac:dyDescent="0.2">
      <c r="A78" t="s">
        <v>458</v>
      </c>
      <c r="B78" t="s">
        <v>452</v>
      </c>
      <c r="C78" s="43">
        <v>1</v>
      </c>
      <c r="H78">
        <v>2092982</v>
      </c>
      <c r="I78" t="s">
        <v>432</v>
      </c>
      <c r="J78" t="s">
        <v>477</v>
      </c>
      <c r="K78" s="43" t="s">
        <v>280</v>
      </c>
      <c r="L78" s="66">
        <f t="shared" si="57"/>
        <v>0</v>
      </c>
      <c r="M78" s="77">
        <f>SUM(Altas!E75:AI75)</f>
        <v>0</v>
      </c>
      <c r="N78" s="77">
        <f>VLOOKUP(H78,Cuota!$D:$DU,119,0)</f>
        <v>1.7899304599167285</v>
      </c>
      <c r="O78" s="77">
        <f t="shared" si="58"/>
        <v>-1.7899304599167285</v>
      </c>
      <c r="P78" s="66">
        <f t="shared" si="59"/>
        <v>0</v>
      </c>
      <c r="Q78" s="77">
        <f>+SUM(Altas!E122:AI122)</f>
        <v>0</v>
      </c>
      <c r="R78" s="77">
        <f>VLOOKUP(H78,Tabla2[[#All],[IDPV]:[PP VOZ]],120,0)</f>
        <v>1.1014956676410637</v>
      </c>
      <c r="S78" s="77">
        <f t="shared" si="60"/>
        <v>-1.1014956676410637</v>
      </c>
      <c r="T78" s="66">
        <f t="shared" si="61"/>
        <v>0</v>
      </c>
      <c r="U78" s="78">
        <f>+SUM(Altas!E169:AI169)</f>
        <v>0</v>
      </c>
      <c r="V78" s="77">
        <f>VLOOKUP(H78,Tabla2[[#All],[IDPV]:[PP VOZ]],121,0)</f>
        <v>0</v>
      </c>
      <c r="W78" s="77">
        <f t="shared" si="62"/>
        <v>0</v>
      </c>
      <c r="X78" s="66">
        <f t="shared" si="63"/>
        <v>0</v>
      </c>
      <c r="Y78" s="77">
        <f t="shared" si="64"/>
        <v>0</v>
      </c>
      <c r="Z78" s="77">
        <f>VLOOKUP(H78,Tabla2[[#All],[IDPV]:[PP VOZ]],122,0)</f>
        <v>0.68843479227566484</v>
      </c>
      <c r="AA78" s="77">
        <f t="shared" si="65"/>
        <v>-0.68843479227566484</v>
      </c>
      <c r="AB78" s="28">
        <f t="shared" si="66"/>
        <v>0</v>
      </c>
      <c r="AC78" s="28">
        <f t="shared" si="67"/>
        <v>1.7899304599167285</v>
      </c>
      <c r="AD78" s="28">
        <f t="shared" si="68"/>
        <v>-1.7899304599167285</v>
      </c>
      <c r="AE78" s="28">
        <f t="shared" si="69"/>
        <v>0</v>
      </c>
      <c r="AF78" s="28">
        <f t="shared" si="70"/>
        <v>1.1014956676410637</v>
      </c>
      <c r="AG78" s="28">
        <f t="shared" si="71"/>
        <v>-1.1014956676410637</v>
      </c>
      <c r="AH78" s="28">
        <f t="shared" si="72"/>
        <v>0</v>
      </c>
      <c r="AI78" s="28">
        <f t="shared" si="73"/>
        <v>0</v>
      </c>
      <c r="AJ78" s="28">
        <f t="shared" si="74"/>
        <v>0</v>
      </c>
      <c r="AN78" s="64">
        <f>+COUNTIFS(FieldWy!A:A,H78,FieldWy!F:F,"&lt;&gt;")</f>
        <v>0</v>
      </c>
      <c r="AO78" s="86">
        <f t="shared" si="75"/>
        <v>0</v>
      </c>
      <c r="AP78" s="64">
        <f>+COUNTIFS(FieldWy!A:A,H78,FieldWy!F:F,"&lt;&gt;",FieldWy!AA:AA,"true")</f>
        <v>0</v>
      </c>
      <c r="AQ78" s="86">
        <f t="shared" si="76"/>
        <v>0</v>
      </c>
      <c r="AR78" s="64">
        <f>+COUNTIFS(FieldWy!A:A,H78,FieldWy!F:F,"&lt;&gt;",FieldWy!X:X,"PORTABILIDAD")</f>
        <v>0</v>
      </c>
      <c r="AS78" s="64">
        <f t="shared" si="77"/>
        <v>0</v>
      </c>
      <c r="AT78" s="64">
        <f t="shared" si="79"/>
        <v>0</v>
      </c>
      <c r="AU78" s="86">
        <f t="shared" si="78"/>
        <v>0</v>
      </c>
    </row>
    <row r="79" spans="1:47" x14ac:dyDescent="0.2">
      <c r="A79" s="43" t="s">
        <v>99</v>
      </c>
      <c r="B79" s="43" t="s">
        <v>557</v>
      </c>
      <c r="C79" s="43">
        <v>1</v>
      </c>
      <c r="D79" s="43"/>
      <c r="E79" s="43"/>
      <c r="F79" s="43"/>
      <c r="G79" s="43" t="s">
        <v>305</v>
      </c>
      <c r="H79" s="43">
        <v>2093011</v>
      </c>
      <c r="I79" s="43" t="s">
        <v>115</v>
      </c>
      <c r="J79" s="43" t="s">
        <v>38</v>
      </c>
      <c r="K79" s="43" t="s">
        <v>5</v>
      </c>
      <c r="L79" s="66">
        <f t="shared" si="57"/>
        <v>0</v>
      </c>
      <c r="M79" s="77">
        <f>SUM(Altas!E76:AI76)</f>
        <v>0</v>
      </c>
      <c r="N79" s="77">
        <f>VLOOKUP(H79,Cuota!$D:$DU,119,0)</f>
        <v>1.0844067100169907</v>
      </c>
      <c r="O79" s="77">
        <f t="shared" si="58"/>
        <v>-1.0844067100169907</v>
      </c>
      <c r="P79" s="66">
        <f t="shared" si="59"/>
        <v>0</v>
      </c>
      <c r="Q79" s="77">
        <f>+SUM(Altas!E123:AI123)</f>
        <v>0</v>
      </c>
      <c r="R79" s="77">
        <f>VLOOKUP(H79,Tabla2[[#All],[IDPV]:[PP VOZ]],120,0)</f>
        <v>0.68843479227566484</v>
      </c>
      <c r="S79" s="77">
        <f t="shared" si="60"/>
        <v>-0.68843479227566484</v>
      </c>
      <c r="T79" s="66">
        <f t="shared" si="61"/>
        <v>0</v>
      </c>
      <c r="U79" s="78">
        <f>+SUM(Altas!E170:AI170)</f>
        <v>0</v>
      </c>
      <c r="V79" s="77">
        <f>VLOOKUP(H79,Tabla2[[#All],[IDPV]:[PP VOZ]],121,0)</f>
        <v>0.12059800083105997</v>
      </c>
      <c r="W79" s="77">
        <f t="shared" si="62"/>
        <v>-0.12059800083105997</v>
      </c>
      <c r="X79" s="66">
        <f t="shared" si="63"/>
        <v>0</v>
      </c>
      <c r="Y79" s="77">
        <f t="shared" si="64"/>
        <v>0</v>
      </c>
      <c r="Z79" s="77">
        <f>VLOOKUP(H79,Tabla2[[#All],[IDPV]:[PP VOZ]],122,0)</f>
        <v>0.27537391691026591</v>
      </c>
      <c r="AA79" s="77">
        <f t="shared" si="65"/>
        <v>-0.27537391691026591</v>
      </c>
      <c r="AB79" s="28">
        <f t="shared" si="66"/>
        <v>0</v>
      </c>
      <c r="AC79" s="28">
        <f t="shared" si="67"/>
        <v>1.0844067100169907</v>
      </c>
      <c r="AD79" s="28">
        <f t="shared" si="68"/>
        <v>-1.0844067100169907</v>
      </c>
      <c r="AE79" s="28">
        <f t="shared" si="69"/>
        <v>0</v>
      </c>
      <c r="AF79" s="28">
        <f t="shared" si="70"/>
        <v>0.68843479227566484</v>
      </c>
      <c r="AG79" s="28">
        <f t="shared" si="71"/>
        <v>-0.68843479227566484</v>
      </c>
      <c r="AH79" s="28">
        <f t="shared" si="72"/>
        <v>0</v>
      </c>
      <c r="AI79" s="28">
        <f t="shared" si="73"/>
        <v>0.12059800083105997</v>
      </c>
      <c r="AJ79" s="28">
        <f t="shared" si="74"/>
        <v>-0.12059800083105997</v>
      </c>
      <c r="AK79" s="28" t="e">
        <f>+Y79/#REF!</f>
        <v>#REF!</v>
      </c>
      <c r="AL79" s="28" t="e">
        <f>+Z79/#REF!</f>
        <v>#REF!</v>
      </c>
      <c r="AM79" s="28" t="e">
        <f>+AK79-AL79</f>
        <v>#REF!</v>
      </c>
      <c r="AN79" s="64">
        <f>+COUNTIFS(FieldWy!A:A,H79,FieldWy!F:F,"&lt;&gt;")</f>
        <v>0</v>
      </c>
      <c r="AO79" s="86">
        <f t="shared" si="75"/>
        <v>0</v>
      </c>
      <c r="AP79" s="64">
        <f>+COUNTIFS(FieldWy!A:A,H79,FieldWy!F:F,"&lt;&gt;",FieldWy!AA:AA,"true")</f>
        <v>0</v>
      </c>
      <c r="AQ79" s="86">
        <f t="shared" si="76"/>
        <v>0</v>
      </c>
      <c r="AR79" s="64">
        <f>+COUNTIFS(FieldWy!A:A,H79,FieldWy!F:F,"&lt;&gt;",FieldWy!X:X,"PORTABILIDAD")</f>
        <v>0</v>
      </c>
      <c r="AS79" s="64">
        <f t="shared" si="77"/>
        <v>0</v>
      </c>
      <c r="AT79" s="64">
        <f t="shared" si="79"/>
        <v>0</v>
      </c>
      <c r="AU79" s="86">
        <f t="shared" si="78"/>
        <v>0</v>
      </c>
    </row>
    <row r="80" spans="1:47" x14ac:dyDescent="0.2">
      <c r="A80" s="43" t="s">
        <v>99</v>
      </c>
      <c r="B80" s="43" t="s">
        <v>125</v>
      </c>
      <c r="C80" s="43">
        <v>1</v>
      </c>
      <c r="D80" s="43" t="s">
        <v>543</v>
      </c>
      <c r="E80" s="43" t="s">
        <v>346</v>
      </c>
      <c r="F80" s="61" t="s">
        <v>383</v>
      </c>
      <c r="G80" s="43" t="s">
        <v>343</v>
      </c>
      <c r="H80" s="43">
        <v>2093014</v>
      </c>
      <c r="I80" s="43" t="s">
        <v>44</v>
      </c>
      <c r="J80" s="43" t="s">
        <v>17</v>
      </c>
      <c r="K80" s="43" t="s">
        <v>5</v>
      </c>
      <c r="L80" s="66">
        <f t="shared" si="57"/>
        <v>0</v>
      </c>
      <c r="M80" s="77">
        <f>SUM(Altas!E77:AI77)</f>
        <v>0</v>
      </c>
      <c r="N80" s="77">
        <f>VLOOKUP(H80,Cuota!$D:$DU,119,0)</f>
        <v>1.3597806269272565</v>
      </c>
      <c r="O80" s="77">
        <f t="shared" si="58"/>
        <v>-1.3597806269272565</v>
      </c>
      <c r="P80" s="66">
        <f t="shared" si="59"/>
        <v>0</v>
      </c>
      <c r="Q80" s="77">
        <f>+SUM(Altas!E124:AI124)</f>
        <v>0</v>
      </c>
      <c r="R80" s="77">
        <f>VLOOKUP(H80,Tabla2[[#All],[IDPV]:[PP VOZ]],120,0)</f>
        <v>0.68843479227566484</v>
      </c>
      <c r="S80" s="77">
        <f t="shared" si="60"/>
        <v>-0.68843479227566484</v>
      </c>
      <c r="T80" s="66">
        <f t="shared" si="61"/>
        <v>0</v>
      </c>
      <c r="U80" s="78">
        <f>+SUM(Altas!E171:AI171)</f>
        <v>0</v>
      </c>
      <c r="V80" s="77">
        <f>VLOOKUP(H80,Tabla2[[#All],[IDPV]:[PP VOZ]],121,0)</f>
        <v>0.12059800083105997</v>
      </c>
      <c r="W80" s="77">
        <f t="shared" si="62"/>
        <v>-0.12059800083105997</v>
      </c>
      <c r="X80" s="66">
        <f t="shared" si="63"/>
        <v>0</v>
      </c>
      <c r="Y80" s="77">
        <f t="shared" si="64"/>
        <v>0</v>
      </c>
      <c r="Z80" s="77">
        <f>VLOOKUP(H80,Tabla2[[#All],[IDPV]:[PP VOZ]],122,0)</f>
        <v>0.55074783382053172</v>
      </c>
      <c r="AA80" s="77">
        <f t="shared" si="65"/>
        <v>-0.55074783382053172</v>
      </c>
      <c r="AB80" s="28">
        <f t="shared" si="66"/>
        <v>0</v>
      </c>
      <c r="AC80" s="28">
        <f t="shared" si="67"/>
        <v>1.3597806269272565</v>
      </c>
      <c r="AD80" s="28">
        <f t="shared" si="68"/>
        <v>-1.3597806269272565</v>
      </c>
      <c r="AE80" s="28">
        <f t="shared" si="69"/>
        <v>0</v>
      </c>
      <c r="AF80" s="28">
        <f t="shared" si="70"/>
        <v>0.68843479227566484</v>
      </c>
      <c r="AG80" s="28">
        <f t="shared" si="71"/>
        <v>-0.68843479227566484</v>
      </c>
      <c r="AH80" s="28">
        <f t="shared" si="72"/>
        <v>0</v>
      </c>
      <c r="AI80" s="28">
        <f t="shared" si="73"/>
        <v>0.12059800083105997</v>
      </c>
      <c r="AJ80" s="28">
        <f t="shared" si="74"/>
        <v>-0.12059800083105997</v>
      </c>
      <c r="AK80" s="28" t="e">
        <f>+Y80/#REF!</f>
        <v>#REF!</v>
      </c>
      <c r="AL80" s="28" t="e">
        <f>+Z80/#REF!</f>
        <v>#REF!</v>
      </c>
      <c r="AM80" s="28" t="e">
        <f>+AK80-AL80</f>
        <v>#REF!</v>
      </c>
      <c r="AN80" s="64">
        <f>+COUNTIFS(FieldWy!A:A,H80,FieldWy!F:F,"&lt;&gt;")</f>
        <v>0</v>
      </c>
      <c r="AO80" s="86">
        <f t="shared" si="75"/>
        <v>0</v>
      </c>
      <c r="AP80" s="64">
        <f>+COUNTIFS(FieldWy!A:A,H80,FieldWy!F:F,"&lt;&gt;",FieldWy!AA:AA,"true")</f>
        <v>0</v>
      </c>
      <c r="AQ80" s="86">
        <f t="shared" si="76"/>
        <v>0</v>
      </c>
      <c r="AR80" s="64">
        <f>+COUNTIFS(FieldWy!A:A,H80,FieldWy!F:F,"&lt;&gt;",FieldWy!X:X,"PORTABILIDAD")</f>
        <v>0</v>
      </c>
      <c r="AS80" s="64">
        <f t="shared" si="77"/>
        <v>0</v>
      </c>
      <c r="AT80" s="64">
        <f t="shared" si="79"/>
        <v>0</v>
      </c>
      <c r="AU80" s="86">
        <f t="shared" si="78"/>
        <v>0</v>
      </c>
    </row>
    <row r="81" spans="1:47" x14ac:dyDescent="0.2">
      <c r="A81" s="43" t="s">
        <v>124</v>
      </c>
      <c r="B81" s="43" t="s">
        <v>125</v>
      </c>
      <c r="C81" s="43">
        <v>1</v>
      </c>
      <c r="D81" s="43" t="s">
        <v>387</v>
      </c>
      <c r="E81" s="43"/>
      <c r="F81" s="43"/>
      <c r="G81" s="43" t="s">
        <v>343</v>
      </c>
      <c r="H81" s="43">
        <v>2093017</v>
      </c>
      <c r="I81" s="43" t="s">
        <v>116</v>
      </c>
      <c r="J81" s="43" t="s">
        <v>17</v>
      </c>
      <c r="K81" s="43" t="s">
        <v>5</v>
      </c>
      <c r="L81" s="66">
        <f t="shared" si="57"/>
        <v>0</v>
      </c>
      <c r="M81" s="77">
        <f>SUM(Altas!E78:AI78)</f>
        <v>0</v>
      </c>
      <c r="N81" s="77">
        <f>VLOOKUP(H81,Cuota!$D:$DU,119,0)</f>
        <v>1.6351545438375226</v>
      </c>
      <c r="O81" s="77">
        <f t="shared" si="58"/>
        <v>-1.6351545438375226</v>
      </c>
      <c r="P81" s="66">
        <f t="shared" si="59"/>
        <v>0</v>
      </c>
      <c r="Q81" s="77">
        <f>+SUM(Altas!E125:AI125)</f>
        <v>0</v>
      </c>
      <c r="R81" s="77">
        <f>VLOOKUP(H81,Tabla2[[#All],[IDPV]:[PP VOZ]],120,0)</f>
        <v>0.68843479227566484</v>
      </c>
      <c r="S81" s="77">
        <f t="shared" si="60"/>
        <v>-0.68843479227566484</v>
      </c>
      <c r="T81" s="66">
        <f t="shared" si="61"/>
        <v>0</v>
      </c>
      <c r="U81" s="78">
        <f>+SUM(Altas!E172:AI172)</f>
        <v>0</v>
      </c>
      <c r="V81" s="77">
        <f>VLOOKUP(H81,Tabla2[[#All],[IDPV]:[PP VOZ]],121,0)</f>
        <v>0.12059800083105997</v>
      </c>
      <c r="W81" s="77">
        <f t="shared" si="62"/>
        <v>-0.12059800083105997</v>
      </c>
      <c r="X81" s="66">
        <f t="shared" si="63"/>
        <v>0</v>
      </c>
      <c r="Y81" s="77">
        <f t="shared" si="64"/>
        <v>0</v>
      </c>
      <c r="Z81" s="77">
        <f>VLOOKUP(H81,Tabla2[[#All],[IDPV]:[PP VOZ]],122,0)</f>
        <v>0.82612175073079774</v>
      </c>
      <c r="AA81" s="77">
        <f t="shared" si="65"/>
        <v>-0.82612175073079774</v>
      </c>
      <c r="AB81" s="28">
        <f t="shared" si="66"/>
        <v>0</v>
      </c>
      <c r="AC81" s="28">
        <f t="shared" si="67"/>
        <v>1.6351545438375226</v>
      </c>
      <c r="AD81" s="28">
        <f t="shared" si="68"/>
        <v>-1.6351545438375226</v>
      </c>
      <c r="AE81" s="28">
        <f t="shared" si="69"/>
        <v>0</v>
      </c>
      <c r="AF81" s="28">
        <f t="shared" si="70"/>
        <v>0.68843479227566484</v>
      </c>
      <c r="AG81" s="28">
        <f t="shared" si="71"/>
        <v>-0.68843479227566484</v>
      </c>
      <c r="AH81" s="28">
        <f t="shared" si="72"/>
        <v>0</v>
      </c>
      <c r="AI81" s="28">
        <f t="shared" si="73"/>
        <v>0.12059800083105997</v>
      </c>
      <c r="AJ81" s="28">
        <f t="shared" si="74"/>
        <v>-0.12059800083105997</v>
      </c>
      <c r="AK81" s="28" t="e">
        <f>+Y81/#REF!</f>
        <v>#REF!</v>
      </c>
      <c r="AL81" s="28" t="e">
        <f>+Z81/#REF!</f>
        <v>#REF!</v>
      </c>
      <c r="AM81" s="28" t="e">
        <f>+AK81-AL81</f>
        <v>#REF!</v>
      </c>
      <c r="AN81" s="64">
        <f>+COUNTIFS(FieldWy!A:A,H81,FieldWy!F:F,"&lt;&gt;")</f>
        <v>0</v>
      </c>
      <c r="AO81" s="86">
        <f t="shared" si="75"/>
        <v>0</v>
      </c>
      <c r="AP81" s="64">
        <f>+COUNTIFS(FieldWy!A:A,H81,FieldWy!F:F,"&lt;&gt;",FieldWy!AA:AA,"true")</f>
        <v>0</v>
      </c>
      <c r="AQ81" s="86">
        <f t="shared" si="76"/>
        <v>0</v>
      </c>
      <c r="AR81" s="64">
        <f>+COUNTIFS(FieldWy!A:A,H81,FieldWy!F:F,"&lt;&gt;",FieldWy!X:X,"PORTABILIDAD")</f>
        <v>0</v>
      </c>
      <c r="AS81" s="64">
        <f t="shared" si="77"/>
        <v>0</v>
      </c>
      <c r="AT81" s="64">
        <f t="shared" si="79"/>
        <v>0</v>
      </c>
      <c r="AU81" s="86">
        <f t="shared" si="78"/>
        <v>0</v>
      </c>
    </row>
    <row r="82" spans="1:47" hidden="1" x14ac:dyDescent="0.2">
      <c r="A82" t="s">
        <v>455</v>
      </c>
      <c r="B82" t="s">
        <v>451</v>
      </c>
      <c r="C82" s="43">
        <v>1</v>
      </c>
      <c r="H82">
        <v>2093034</v>
      </c>
      <c r="I82" t="s">
        <v>433</v>
      </c>
      <c r="J82" t="s">
        <v>460</v>
      </c>
      <c r="K82" s="43" t="s">
        <v>280</v>
      </c>
      <c r="L82" s="66">
        <f t="shared" si="57"/>
        <v>0</v>
      </c>
      <c r="M82" s="77">
        <f>SUM(Altas!E79:AI79)</f>
        <v>0</v>
      </c>
      <c r="N82" s="77">
        <f>VLOOKUP(H82,Cuota!$D:$DU,119,0)</f>
        <v>1.7728415022926556</v>
      </c>
      <c r="O82" s="77">
        <f t="shared" si="58"/>
        <v>-1.7728415022926556</v>
      </c>
      <c r="P82" s="66">
        <f t="shared" si="59"/>
        <v>0</v>
      </c>
      <c r="Q82" s="77">
        <f>+SUM(Altas!E126:AI126)</f>
        <v>0</v>
      </c>
      <c r="R82" s="77">
        <f>VLOOKUP(H82,Tabla2[[#All],[IDPV]:[PP VOZ]],120,0)</f>
        <v>0.82612175073079774</v>
      </c>
      <c r="S82" s="77">
        <f t="shared" si="60"/>
        <v>-0.82612175073079774</v>
      </c>
      <c r="T82" s="66">
        <f t="shared" si="61"/>
        <v>0</v>
      </c>
      <c r="U82" s="78">
        <f>+SUM(Altas!E173:AI173)</f>
        <v>0</v>
      </c>
      <c r="V82" s="77">
        <f>VLOOKUP(H82,Tabla2[[#All],[IDPV]:[PP VOZ]],121,0)</f>
        <v>0.12059800083105997</v>
      </c>
      <c r="W82" s="77">
        <f t="shared" si="62"/>
        <v>-0.12059800083105997</v>
      </c>
      <c r="X82" s="66">
        <f t="shared" si="63"/>
        <v>0</v>
      </c>
      <c r="Y82" s="77">
        <f t="shared" si="64"/>
        <v>0</v>
      </c>
      <c r="Z82" s="77">
        <f>VLOOKUP(H82,Tabla2[[#All],[IDPV]:[PP VOZ]],122,0)</f>
        <v>0.82612175073079785</v>
      </c>
      <c r="AA82" s="77">
        <f t="shared" si="65"/>
        <v>-0.82612175073079785</v>
      </c>
      <c r="AB82" s="28">
        <f t="shared" si="66"/>
        <v>0</v>
      </c>
      <c r="AC82" s="28">
        <f t="shared" si="67"/>
        <v>1.7728415022926556</v>
      </c>
      <c r="AD82" s="28">
        <f t="shared" si="68"/>
        <v>-1.7728415022926556</v>
      </c>
      <c r="AE82" s="28">
        <f t="shared" si="69"/>
        <v>0</v>
      </c>
      <c r="AF82" s="28">
        <f t="shared" si="70"/>
        <v>0.82612175073079774</v>
      </c>
      <c r="AG82" s="28">
        <f t="shared" si="71"/>
        <v>-0.82612175073079774</v>
      </c>
      <c r="AH82" s="28">
        <f t="shared" si="72"/>
        <v>0</v>
      </c>
      <c r="AI82" s="28">
        <f t="shared" si="73"/>
        <v>0.12059800083105997</v>
      </c>
      <c r="AJ82" s="28">
        <f t="shared" si="74"/>
        <v>-0.12059800083105997</v>
      </c>
      <c r="AN82" s="64">
        <f>+COUNTIFS(FieldWy!A:A,H82,FieldWy!F:F,"&lt;&gt;")</f>
        <v>0</v>
      </c>
      <c r="AO82" s="86">
        <f t="shared" si="75"/>
        <v>0</v>
      </c>
      <c r="AP82" s="64">
        <f>+COUNTIFS(FieldWy!A:A,H82,FieldWy!F:F,"&lt;&gt;",FieldWy!AA:AA,"true")</f>
        <v>0</v>
      </c>
      <c r="AQ82" s="86">
        <f t="shared" si="76"/>
        <v>0</v>
      </c>
      <c r="AR82" s="64">
        <f>+COUNTIFS(FieldWy!A:A,H82,FieldWy!F:F,"&lt;&gt;",FieldWy!X:X,"PORTABILIDAD")</f>
        <v>0</v>
      </c>
      <c r="AS82" s="64">
        <f t="shared" si="77"/>
        <v>0</v>
      </c>
      <c r="AT82" s="64">
        <f t="shared" si="79"/>
        <v>0</v>
      </c>
      <c r="AU82" s="86">
        <f t="shared" si="78"/>
        <v>0</v>
      </c>
    </row>
    <row r="83" spans="1:47" hidden="1" x14ac:dyDescent="0.2">
      <c r="A83" t="s">
        <v>456</v>
      </c>
      <c r="B83" t="s">
        <v>453</v>
      </c>
      <c r="C83" s="43">
        <v>1</v>
      </c>
      <c r="H83">
        <v>2093041</v>
      </c>
      <c r="I83" t="s">
        <v>434</v>
      </c>
      <c r="J83" t="s">
        <v>467</v>
      </c>
      <c r="K83" s="43" t="s">
        <v>280</v>
      </c>
      <c r="L83" s="66">
        <f t="shared" si="57"/>
        <v>0</v>
      </c>
      <c r="M83" s="77">
        <f>SUM(Altas!E80:AI80)</f>
        <v>0</v>
      </c>
      <c r="N83" s="77">
        <f>VLOOKUP(H83,Cuota!$D:$DU,119,0)</f>
        <v>3.0291130860129254</v>
      </c>
      <c r="O83" s="77">
        <f t="shared" si="58"/>
        <v>-3.0291130860129254</v>
      </c>
      <c r="P83" s="66">
        <f t="shared" si="59"/>
        <v>0</v>
      </c>
      <c r="Q83" s="77">
        <f>+SUM(Altas!E127:AI127)</f>
        <v>0</v>
      </c>
      <c r="R83" s="77">
        <f>VLOOKUP(H83,Tabla2[[#All],[IDPV]:[PP VOZ]],120,0)</f>
        <v>1.6522435014615955</v>
      </c>
      <c r="S83" s="77">
        <f t="shared" si="60"/>
        <v>-1.6522435014615955</v>
      </c>
      <c r="T83" s="66">
        <f t="shared" si="61"/>
        <v>0</v>
      </c>
      <c r="U83" s="78">
        <f>+SUM(Altas!E174:AI174)</f>
        <v>0</v>
      </c>
      <c r="V83" s="77">
        <f>VLOOKUP(H83,Tabla2[[#All],[IDPV]:[PP VOZ]],121,0)</f>
        <v>0</v>
      </c>
      <c r="W83" s="77">
        <f t="shared" si="62"/>
        <v>0</v>
      </c>
      <c r="X83" s="66">
        <f t="shared" si="63"/>
        <v>0</v>
      </c>
      <c r="Y83" s="77">
        <f t="shared" si="64"/>
        <v>0</v>
      </c>
      <c r="Z83" s="77">
        <f>VLOOKUP(H83,Tabla2[[#All],[IDPV]:[PP VOZ]],122,0)</f>
        <v>1.3768695845513299</v>
      </c>
      <c r="AA83" s="77">
        <f t="shared" si="65"/>
        <v>-1.3768695845513299</v>
      </c>
      <c r="AB83" s="28">
        <f t="shared" si="66"/>
        <v>0</v>
      </c>
      <c r="AC83" s="28">
        <f t="shared" si="67"/>
        <v>3.0291130860129254</v>
      </c>
      <c r="AD83" s="28">
        <f t="shared" si="68"/>
        <v>-3.0291130860129254</v>
      </c>
      <c r="AE83" s="28">
        <f t="shared" si="69"/>
        <v>0</v>
      </c>
      <c r="AF83" s="28">
        <f t="shared" si="70"/>
        <v>1.6522435014615955</v>
      </c>
      <c r="AG83" s="28">
        <f t="shared" si="71"/>
        <v>-1.6522435014615955</v>
      </c>
      <c r="AH83" s="28">
        <f t="shared" si="72"/>
        <v>0</v>
      </c>
      <c r="AI83" s="28">
        <f t="shared" si="73"/>
        <v>0</v>
      </c>
      <c r="AJ83" s="28">
        <f t="shared" si="74"/>
        <v>0</v>
      </c>
      <c r="AN83" s="64">
        <f>+COUNTIFS(FieldWy!A:A,H83,FieldWy!F:F,"&lt;&gt;")</f>
        <v>0</v>
      </c>
      <c r="AO83" s="86">
        <f t="shared" si="75"/>
        <v>0</v>
      </c>
      <c r="AP83" s="64">
        <f>+COUNTIFS(FieldWy!A:A,H83,FieldWy!F:F,"&lt;&gt;",FieldWy!AA:AA,"true")</f>
        <v>0</v>
      </c>
      <c r="AQ83" s="86">
        <f t="shared" si="76"/>
        <v>0</v>
      </c>
      <c r="AR83" s="64">
        <f>+COUNTIFS(FieldWy!A:A,H83,FieldWy!F:F,"&lt;&gt;",FieldWy!X:X,"PORTABILIDAD")</f>
        <v>0</v>
      </c>
      <c r="AS83" s="64">
        <f t="shared" si="77"/>
        <v>0</v>
      </c>
      <c r="AT83" s="64">
        <f t="shared" si="79"/>
        <v>0</v>
      </c>
      <c r="AU83" s="86">
        <f t="shared" si="78"/>
        <v>0</v>
      </c>
    </row>
    <row r="84" spans="1:47" hidden="1" x14ac:dyDescent="0.2">
      <c r="A84" t="s">
        <v>456</v>
      </c>
      <c r="B84" t="s">
        <v>453</v>
      </c>
      <c r="C84" s="43">
        <v>1</v>
      </c>
      <c r="H84">
        <v>2093092</v>
      </c>
      <c r="I84" t="s">
        <v>435</v>
      </c>
      <c r="J84" t="s">
        <v>478</v>
      </c>
      <c r="K84" s="43" t="s">
        <v>281</v>
      </c>
      <c r="L84" s="66">
        <f t="shared" si="57"/>
        <v>0</v>
      </c>
      <c r="M84" s="77">
        <f>SUM(Altas!E81:AI81)</f>
        <v>0</v>
      </c>
      <c r="N84" s="77">
        <f>VLOOKUP(H84,Cuota!$D:$DU,119,0)</f>
        <v>1.3597806269272565</v>
      </c>
      <c r="O84" s="77">
        <f t="shared" si="58"/>
        <v>-1.3597806269272565</v>
      </c>
      <c r="P84" s="66">
        <f t="shared" si="59"/>
        <v>0</v>
      </c>
      <c r="Q84" s="77">
        <f>+SUM(Altas!E128:AI128)</f>
        <v>0</v>
      </c>
      <c r="R84" s="77">
        <f>VLOOKUP(H84,Tabla2[[#All],[IDPV]:[PP VOZ]],120,0)</f>
        <v>0.55074783382053183</v>
      </c>
      <c r="S84" s="77">
        <f t="shared" si="60"/>
        <v>-0.55074783382053183</v>
      </c>
      <c r="T84" s="66">
        <f t="shared" si="61"/>
        <v>0</v>
      </c>
      <c r="U84" s="78">
        <f>+SUM(Altas!E175:AI175)</f>
        <v>0</v>
      </c>
      <c r="V84" s="77">
        <f>VLOOKUP(H84,Tabla2[[#All],[IDPV]:[PP VOZ]],121,0)</f>
        <v>0.12059800083105997</v>
      </c>
      <c r="W84" s="77">
        <f t="shared" si="62"/>
        <v>-0.12059800083105997</v>
      </c>
      <c r="X84" s="66">
        <f t="shared" si="63"/>
        <v>0</v>
      </c>
      <c r="Y84" s="77">
        <f t="shared" si="64"/>
        <v>0</v>
      </c>
      <c r="Z84" s="77">
        <f>VLOOKUP(H84,Tabla2[[#All],[IDPV]:[PP VOZ]],122,0)</f>
        <v>0.68843479227566473</v>
      </c>
      <c r="AA84" s="77">
        <f t="shared" si="65"/>
        <v>-0.68843479227566473</v>
      </c>
      <c r="AB84" s="28">
        <f t="shared" si="66"/>
        <v>0</v>
      </c>
      <c r="AC84" s="28">
        <f t="shared" si="67"/>
        <v>1.3597806269272565</v>
      </c>
      <c r="AD84" s="28">
        <f t="shared" si="68"/>
        <v>-1.3597806269272565</v>
      </c>
      <c r="AE84" s="28">
        <f t="shared" si="69"/>
        <v>0</v>
      </c>
      <c r="AF84" s="28">
        <f t="shared" si="70"/>
        <v>0.55074783382053183</v>
      </c>
      <c r="AG84" s="28">
        <f t="shared" si="71"/>
        <v>-0.55074783382053183</v>
      </c>
      <c r="AH84" s="28">
        <f t="shared" si="72"/>
        <v>0</v>
      </c>
      <c r="AI84" s="28">
        <f t="shared" si="73"/>
        <v>0.12059800083105997</v>
      </c>
      <c r="AJ84" s="28">
        <f t="shared" si="74"/>
        <v>-0.12059800083105997</v>
      </c>
      <c r="AN84" s="64">
        <f>+COUNTIFS(FieldWy!A:A,H84,FieldWy!F:F,"&lt;&gt;")</f>
        <v>0</v>
      </c>
      <c r="AO84" s="86">
        <f t="shared" si="75"/>
        <v>0</v>
      </c>
      <c r="AP84" s="64">
        <f>+COUNTIFS(FieldWy!A:A,H84,FieldWy!F:F,"&lt;&gt;",FieldWy!AA:AA,"true")</f>
        <v>0</v>
      </c>
      <c r="AQ84" s="86">
        <f t="shared" si="76"/>
        <v>0</v>
      </c>
      <c r="AR84" s="64">
        <f>+COUNTIFS(FieldWy!A:A,H84,FieldWy!F:F,"&lt;&gt;",FieldWy!X:X,"PORTABILIDAD")</f>
        <v>0</v>
      </c>
      <c r="AS84" s="64">
        <f t="shared" si="77"/>
        <v>0</v>
      </c>
      <c r="AT84" s="64">
        <f t="shared" si="79"/>
        <v>0</v>
      </c>
      <c r="AU84" s="86">
        <f t="shared" si="78"/>
        <v>0</v>
      </c>
    </row>
    <row r="85" spans="1:47" x14ac:dyDescent="0.2">
      <c r="A85" s="43" t="s">
        <v>99</v>
      </c>
      <c r="B85" s="43" t="s">
        <v>557</v>
      </c>
      <c r="C85" s="43">
        <v>1</v>
      </c>
      <c r="D85" s="43" t="s">
        <v>387</v>
      </c>
      <c r="E85" s="43"/>
      <c r="F85" s="43"/>
      <c r="G85" s="43" t="s">
        <v>343</v>
      </c>
      <c r="H85" s="43">
        <v>2093110</v>
      </c>
      <c r="I85" s="43" t="s">
        <v>6</v>
      </c>
      <c r="J85" s="43" t="s">
        <v>43</v>
      </c>
      <c r="K85" s="43" t="s">
        <v>5</v>
      </c>
      <c r="L85" s="66">
        <f t="shared" si="57"/>
        <v>0</v>
      </c>
      <c r="M85" s="77">
        <f>SUM(Altas!E82:AI82)</f>
        <v>0</v>
      </c>
      <c r="N85" s="77">
        <f>VLOOKUP(H85,Cuota!$D:$DU,119,0)</f>
        <v>2.0482154192029212</v>
      </c>
      <c r="O85" s="77">
        <f t="shared" si="58"/>
        <v>-2.0482154192029212</v>
      </c>
      <c r="P85" s="66">
        <f t="shared" si="59"/>
        <v>0</v>
      </c>
      <c r="Q85" s="77">
        <f>+SUM(Altas!E129:AI129)</f>
        <v>0</v>
      </c>
      <c r="R85" s="77">
        <f>VLOOKUP(H85,Tabla2[[#All],[IDPV]:[PP VOZ]],120,0)</f>
        <v>1.1014956676410637</v>
      </c>
      <c r="S85" s="77">
        <f t="shared" si="60"/>
        <v>-1.1014956676410637</v>
      </c>
      <c r="T85" s="66">
        <f t="shared" si="61"/>
        <v>0</v>
      </c>
      <c r="U85" s="78">
        <f>+SUM(Altas!E176:AI176)</f>
        <v>0</v>
      </c>
      <c r="V85" s="77">
        <f>VLOOKUP(H85,Tabla2[[#All],[IDPV]:[PP VOZ]],121,0)</f>
        <v>0.12059800083105997</v>
      </c>
      <c r="W85" s="77">
        <f t="shared" si="62"/>
        <v>-0.12059800083105997</v>
      </c>
      <c r="X85" s="66">
        <f t="shared" si="63"/>
        <v>0</v>
      </c>
      <c r="Y85" s="77">
        <f t="shared" si="64"/>
        <v>0</v>
      </c>
      <c r="Z85" s="77">
        <f>VLOOKUP(H85,Tabla2[[#All],[IDPV]:[PP VOZ]],122,0)</f>
        <v>0.82612175073079763</v>
      </c>
      <c r="AA85" s="77">
        <f t="shared" si="65"/>
        <v>-0.82612175073079763</v>
      </c>
      <c r="AB85" s="28">
        <f t="shared" si="66"/>
        <v>0</v>
      </c>
      <c r="AC85" s="28">
        <f t="shared" si="67"/>
        <v>2.0482154192029212</v>
      </c>
      <c r="AD85" s="28">
        <f t="shared" si="68"/>
        <v>-2.0482154192029212</v>
      </c>
      <c r="AE85" s="28">
        <f t="shared" si="69"/>
        <v>0</v>
      </c>
      <c r="AF85" s="28">
        <f t="shared" si="70"/>
        <v>1.1014956676410637</v>
      </c>
      <c r="AG85" s="28">
        <f t="shared" si="71"/>
        <v>-1.1014956676410637</v>
      </c>
      <c r="AH85" s="28">
        <f t="shared" si="72"/>
        <v>0</v>
      </c>
      <c r="AI85" s="28">
        <f t="shared" si="73"/>
        <v>0.12059800083105997</v>
      </c>
      <c r="AJ85" s="28">
        <f t="shared" si="74"/>
        <v>-0.12059800083105997</v>
      </c>
      <c r="AK85" s="28" t="e">
        <f>+Y85/#REF!</f>
        <v>#REF!</v>
      </c>
      <c r="AL85" s="28" t="e">
        <f>+Z85/#REF!</f>
        <v>#REF!</v>
      </c>
      <c r="AM85" s="28" t="e">
        <f>+AK85-AL85</f>
        <v>#REF!</v>
      </c>
      <c r="AN85" s="64">
        <f>+COUNTIFS(FieldWy!A:A,H85,FieldWy!F:F,"&lt;&gt;")</f>
        <v>0</v>
      </c>
      <c r="AO85" s="86">
        <f t="shared" si="75"/>
        <v>0</v>
      </c>
      <c r="AP85" s="64">
        <f>+COUNTIFS(FieldWy!A:A,H85,FieldWy!F:F,"&lt;&gt;",FieldWy!AA:AA,"true")</f>
        <v>0</v>
      </c>
      <c r="AQ85" s="86">
        <f t="shared" si="76"/>
        <v>0</v>
      </c>
      <c r="AR85" s="64">
        <f>+COUNTIFS(FieldWy!A:A,H85,FieldWy!F:F,"&lt;&gt;",FieldWy!X:X,"PORTABILIDAD")</f>
        <v>0</v>
      </c>
      <c r="AS85" s="64">
        <f t="shared" si="77"/>
        <v>0</v>
      </c>
      <c r="AT85" s="64">
        <f t="shared" si="79"/>
        <v>0</v>
      </c>
      <c r="AU85" s="86">
        <f t="shared" si="78"/>
        <v>0</v>
      </c>
    </row>
    <row r="86" spans="1:47" hidden="1" x14ac:dyDescent="0.2">
      <c r="A86" t="s">
        <v>455</v>
      </c>
      <c r="B86" t="s">
        <v>451</v>
      </c>
      <c r="C86" s="43">
        <v>1</v>
      </c>
      <c r="H86">
        <v>2093123</v>
      </c>
      <c r="I86" t="s">
        <v>436</v>
      </c>
      <c r="J86" t="s">
        <v>460</v>
      </c>
      <c r="K86" s="43" t="s">
        <v>280</v>
      </c>
      <c r="L86" s="66">
        <f t="shared" si="57"/>
        <v>0</v>
      </c>
      <c r="M86" s="77">
        <f>SUM(Altas!E83:AI83)</f>
        <v>0</v>
      </c>
      <c r="N86" s="77">
        <f>VLOOKUP(H86,Cuota!$D:$DU,119,0)</f>
        <v>1.7728415022926554</v>
      </c>
      <c r="O86" s="77">
        <f t="shared" si="58"/>
        <v>-1.7728415022926554</v>
      </c>
      <c r="P86" s="66">
        <f t="shared" si="59"/>
        <v>0</v>
      </c>
      <c r="Q86" s="77">
        <f>+SUM(Altas!E130:AI130)</f>
        <v>0</v>
      </c>
      <c r="R86" s="77">
        <f>VLOOKUP(H86,Tabla2[[#All],[IDPV]:[PP VOZ]],120,0)</f>
        <v>0.96380870918593065</v>
      </c>
      <c r="S86" s="77">
        <f t="shared" si="60"/>
        <v>-0.96380870918593065</v>
      </c>
      <c r="T86" s="66">
        <f t="shared" si="61"/>
        <v>0</v>
      </c>
      <c r="U86" s="78">
        <f>+SUM(Altas!E177:AI177)</f>
        <v>0</v>
      </c>
      <c r="V86" s="77">
        <f>VLOOKUP(H86,Tabla2[[#All],[IDPV]:[PP VOZ]],121,0)</f>
        <v>0.12059800083105997</v>
      </c>
      <c r="W86" s="77">
        <f t="shared" si="62"/>
        <v>-0.12059800083105997</v>
      </c>
      <c r="X86" s="66">
        <f t="shared" si="63"/>
        <v>0</v>
      </c>
      <c r="Y86" s="77">
        <f t="shared" si="64"/>
        <v>0</v>
      </c>
      <c r="Z86" s="77">
        <f>VLOOKUP(H86,Tabla2[[#All],[IDPV]:[PP VOZ]],122,0)</f>
        <v>0.68843479227566484</v>
      </c>
      <c r="AA86" s="77">
        <f t="shared" si="65"/>
        <v>-0.68843479227566484</v>
      </c>
      <c r="AB86" s="28">
        <f t="shared" si="66"/>
        <v>0</v>
      </c>
      <c r="AC86" s="28">
        <f t="shared" si="67"/>
        <v>1.7728415022926554</v>
      </c>
      <c r="AD86" s="28">
        <f t="shared" si="68"/>
        <v>-1.7728415022926554</v>
      </c>
      <c r="AE86" s="28">
        <f t="shared" si="69"/>
        <v>0</v>
      </c>
      <c r="AF86" s="28">
        <f t="shared" si="70"/>
        <v>0.96380870918593065</v>
      </c>
      <c r="AG86" s="28">
        <f t="shared" si="71"/>
        <v>-0.96380870918593065</v>
      </c>
      <c r="AH86" s="28">
        <f t="shared" si="72"/>
        <v>0</v>
      </c>
      <c r="AI86" s="28">
        <f t="shared" si="73"/>
        <v>0.12059800083105997</v>
      </c>
      <c r="AJ86" s="28">
        <f t="shared" si="74"/>
        <v>-0.12059800083105997</v>
      </c>
      <c r="AN86" s="64">
        <f>+COUNTIFS(FieldWy!A:A,H86,FieldWy!F:F,"&lt;&gt;")</f>
        <v>0</v>
      </c>
      <c r="AO86" s="86">
        <f t="shared" si="75"/>
        <v>0</v>
      </c>
      <c r="AP86" s="64">
        <f>+COUNTIFS(FieldWy!A:A,H86,FieldWy!F:F,"&lt;&gt;",FieldWy!AA:AA,"true")</f>
        <v>0</v>
      </c>
      <c r="AQ86" s="86">
        <f t="shared" si="76"/>
        <v>0</v>
      </c>
      <c r="AR86" s="64">
        <f>+COUNTIFS(FieldWy!A:A,H86,FieldWy!F:F,"&lt;&gt;",FieldWy!X:X,"PORTABILIDAD")</f>
        <v>0</v>
      </c>
      <c r="AS86" s="64">
        <f t="shared" si="77"/>
        <v>0</v>
      </c>
      <c r="AT86" s="64">
        <f t="shared" si="79"/>
        <v>0</v>
      </c>
      <c r="AU86" s="86">
        <f t="shared" si="78"/>
        <v>0</v>
      </c>
    </row>
    <row r="87" spans="1:47" hidden="1" x14ac:dyDescent="0.2">
      <c r="A87" t="s">
        <v>455</v>
      </c>
      <c r="B87" t="s">
        <v>451</v>
      </c>
      <c r="C87" s="43">
        <v>1</v>
      </c>
      <c r="H87">
        <v>2093130</v>
      </c>
      <c r="I87" t="s">
        <v>437</v>
      </c>
      <c r="J87" t="s">
        <v>476</v>
      </c>
      <c r="K87" s="43" t="s">
        <v>281</v>
      </c>
      <c r="L87" s="66">
        <f t="shared" si="57"/>
        <v>0</v>
      </c>
      <c r="M87" s="77">
        <f>SUM(Altas!E84:AI84)</f>
        <v>0</v>
      </c>
      <c r="N87" s="77">
        <f>VLOOKUP(H87,Cuota!$D:$DU,119,0)</f>
        <v>1.2220936684721235</v>
      </c>
      <c r="O87" s="77">
        <f t="shared" si="58"/>
        <v>-1.2220936684721235</v>
      </c>
      <c r="P87" s="66">
        <f t="shared" si="59"/>
        <v>0</v>
      </c>
      <c r="Q87" s="77">
        <f>+SUM(Altas!E131:AI131)</f>
        <v>0</v>
      </c>
      <c r="R87" s="77">
        <f>VLOOKUP(H87,Tabla2[[#All],[IDPV]:[PP VOZ]],120,0)</f>
        <v>0.5336588761964588</v>
      </c>
      <c r="S87" s="77">
        <f t="shared" si="60"/>
        <v>-0.5336588761964588</v>
      </c>
      <c r="T87" s="66">
        <f t="shared" si="61"/>
        <v>0</v>
      </c>
      <c r="U87" s="78">
        <f>+SUM(Altas!E178:AI178)</f>
        <v>0</v>
      </c>
      <c r="V87" s="77">
        <f>VLOOKUP(H87,Tabla2[[#All],[IDPV]:[PP VOZ]],121,0)</f>
        <v>0.12059800083105997</v>
      </c>
      <c r="W87" s="77">
        <f t="shared" si="62"/>
        <v>-0.12059800083105997</v>
      </c>
      <c r="X87" s="66">
        <f t="shared" si="63"/>
        <v>0</v>
      </c>
      <c r="Y87" s="77">
        <f t="shared" si="64"/>
        <v>0</v>
      </c>
      <c r="Z87" s="77">
        <f>VLOOKUP(H87,Tabla2[[#All],[IDPV]:[PP VOZ]],122,0)</f>
        <v>0.56783679144460475</v>
      </c>
      <c r="AA87" s="77">
        <f t="shared" si="65"/>
        <v>-0.56783679144460475</v>
      </c>
      <c r="AB87" s="28">
        <f t="shared" si="66"/>
        <v>0</v>
      </c>
      <c r="AC87" s="28">
        <f t="shared" si="67"/>
        <v>1.2220936684721235</v>
      </c>
      <c r="AD87" s="28">
        <f t="shared" si="68"/>
        <v>-1.2220936684721235</v>
      </c>
      <c r="AE87" s="28">
        <f t="shared" si="69"/>
        <v>0</v>
      </c>
      <c r="AF87" s="28">
        <f t="shared" si="70"/>
        <v>0.5336588761964588</v>
      </c>
      <c r="AG87" s="28">
        <f t="shared" si="71"/>
        <v>-0.5336588761964588</v>
      </c>
      <c r="AH87" s="28">
        <f t="shared" si="72"/>
        <v>0</v>
      </c>
      <c r="AI87" s="28">
        <f t="shared" si="73"/>
        <v>0.12059800083105997</v>
      </c>
      <c r="AJ87" s="28">
        <f t="shared" si="74"/>
        <v>-0.12059800083105997</v>
      </c>
      <c r="AN87" s="64">
        <f>+COUNTIFS(FieldWy!A:A,H87,FieldWy!F:F,"&lt;&gt;")</f>
        <v>0</v>
      </c>
      <c r="AO87" s="86">
        <f t="shared" si="75"/>
        <v>0</v>
      </c>
      <c r="AP87" s="64">
        <f>+COUNTIFS(FieldWy!A:A,H87,FieldWy!F:F,"&lt;&gt;",FieldWy!AA:AA,"true")</f>
        <v>0</v>
      </c>
      <c r="AQ87" s="86">
        <f t="shared" si="76"/>
        <v>0</v>
      </c>
      <c r="AR87" s="64">
        <f>+COUNTIFS(FieldWy!A:A,H87,FieldWy!F:F,"&lt;&gt;",FieldWy!X:X,"PORTABILIDAD")</f>
        <v>0</v>
      </c>
      <c r="AS87" s="64">
        <f t="shared" si="77"/>
        <v>0</v>
      </c>
      <c r="AT87" s="64">
        <f t="shared" si="79"/>
        <v>0</v>
      </c>
      <c r="AU87" s="86">
        <f t="shared" si="78"/>
        <v>0</v>
      </c>
    </row>
    <row r="88" spans="1:47" hidden="1" x14ac:dyDescent="0.2">
      <c r="A88" t="s">
        <v>454</v>
      </c>
      <c r="B88" t="s">
        <v>450</v>
      </c>
      <c r="C88" s="43">
        <v>1</v>
      </c>
      <c r="H88">
        <v>2093137</v>
      </c>
      <c r="I88" t="s">
        <v>438</v>
      </c>
      <c r="J88" t="s">
        <v>459</v>
      </c>
      <c r="K88" s="43" t="s">
        <v>281</v>
      </c>
      <c r="L88" s="66">
        <f t="shared" si="57"/>
        <v>0</v>
      </c>
      <c r="M88" s="77">
        <f>SUM(Altas!E85:AI85)</f>
        <v>0</v>
      </c>
      <c r="N88" s="77">
        <f>VLOOKUP(H88,Cuota!$D:$DU,119,0)</f>
        <v>1.3768695845513297</v>
      </c>
      <c r="O88" s="77">
        <f t="shared" si="58"/>
        <v>-1.3768695845513297</v>
      </c>
      <c r="P88" s="66">
        <f t="shared" si="59"/>
        <v>0</v>
      </c>
      <c r="Q88" s="77">
        <f>+SUM(Altas!E132:AI132)</f>
        <v>0</v>
      </c>
      <c r="R88" s="77">
        <f>VLOOKUP(H88,Tabla2[[#All],[IDPV]:[PP VOZ]],120,0)</f>
        <v>0.68843479227566484</v>
      </c>
      <c r="S88" s="77">
        <f t="shared" si="60"/>
        <v>-0.68843479227566484</v>
      </c>
      <c r="T88" s="66">
        <f t="shared" si="61"/>
        <v>0</v>
      </c>
      <c r="U88" s="78">
        <f>+SUM(Altas!E179:AI179)</f>
        <v>0</v>
      </c>
      <c r="V88" s="77">
        <f>VLOOKUP(H88,Tabla2[[#All],[IDPV]:[PP VOZ]],121,0)</f>
        <v>0</v>
      </c>
      <c r="W88" s="77">
        <f t="shared" si="62"/>
        <v>0</v>
      </c>
      <c r="X88" s="66">
        <f t="shared" si="63"/>
        <v>0</v>
      </c>
      <c r="Y88" s="77">
        <f t="shared" si="64"/>
        <v>0</v>
      </c>
      <c r="Z88" s="77">
        <f>VLOOKUP(H88,Tabla2[[#All],[IDPV]:[PP VOZ]],122,0)</f>
        <v>0.68843479227566484</v>
      </c>
      <c r="AA88" s="77">
        <f t="shared" si="65"/>
        <v>-0.68843479227566484</v>
      </c>
      <c r="AB88" s="28">
        <f t="shared" si="66"/>
        <v>0</v>
      </c>
      <c r="AC88" s="28">
        <f t="shared" si="67"/>
        <v>1.3768695845513297</v>
      </c>
      <c r="AD88" s="28">
        <f t="shared" si="68"/>
        <v>-1.3768695845513297</v>
      </c>
      <c r="AE88" s="28">
        <f t="shared" si="69"/>
        <v>0</v>
      </c>
      <c r="AF88" s="28">
        <f t="shared" si="70"/>
        <v>0.68843479227566484</v>
      </c>
      <c r="AG88" s="28">
        <f t="shared" si="71"/>
        <v>-0.68843479227566484</v>
      </c>
      <c r="AH88" s="28">
        <f t="shared" si="72"/>
        <v>0</v>
      </c>
      <c r="AI88" s="28">
        <f t="shared" si="73"/>
        <v>0</v>
      </c>
      <c r="AJ88" s="28">
        <f t="shared" si="74"/>
        <v>0</v>
      </c>
      <c r="AN88" s="64">
        <f>+COUNTIFS(FieldWy!A:A,H88,FieldWy!F:F,"&lt;&gt;")</f>
        <v>0</v>
      </c>
      <c r="AO88" s="86">
        <f t="shared" si="75"/>
        <v>0</v>
      </c>
      <c r="AP88" s="64">
        <f>+COUNTIFS(FieldWy!A:A,H88,FieldWy!F:F,"&lt;&gt;",FieldWy!AA:AA,"true")</f>
        <v>0</v>
      </c>
      <c r="AQ88" s="86">
        <f t="shared" si="76"/>
        <v>0</v>
      </c>
      <c r="AR88" s="64">
        <f>+COUNTIFS(FieldWy!A:A,H88,FieldWy!F:F,"&lt;&gt;",FieldWy!X:X,"PORTABILIDAD")</f>
        <v>0</v>
      </c>
      <c r="AS88" s="64">
        <f t="shared" si="77"/>
        <v>0</v>
      </c>
      <c r="AT88" s="64">
        <f t="shared" si="79"/>
        <v>0</v>
      </c>
      <c r="AU88" s="86">
        <f t="shared" si="78"/>
        <v>0</v>
      </c>
    </row>
    <row r="89" spans="1:47" x14ac:dyDescent="0.2">
      <c r="A89" s="43" t="s">
        <v>99</v>
      </c>
      <c r="B89" s="43" t="s">
        <v>557</v>
      </c>
      <c r="C89" s="43">
        <v>1</v>
      </c>
      <c r="D89" s="43"/>
      <c r="E89" s="43"/>
      <c r="F89" s="43"/>
      <c r="G89" s="43" t="s">
        <v>343</v>
      </c>
      <c r="H89" s="43">
        <v>2093223</v>
      </c>
      <c r="I89" s="43" t="s">
        <v>117</v>
      </c>
      <c r="J89" s="43" t="s">
        <v>38</v>
      </c>
      <c r="K89" s="43" t="s">
        <v>7</v>
      </c>
      <c r="L89" s="66">
        <f t="shared" si="57"/>
        <v>0</v>
      </c>
      <c r="M89" s="77">
        <f>SUM(Altas!E86:AI86)</f>
        <v>0</v>
      </c>
      <c r="N89" s="77">
        <f>VLOOKUP(H89,Cuota!$D:$DU,119,0)</f>
        <v>0.94671975156185773</v>
      </c>
      <c r="O89" s="77">
        <f t="shared" si="58"/>
        <v>-0.94671975156185773</v>
      </c>
      <c r="P89" s="66">
        <f t="shared" si="59"/>
        <v>0</v>
      </c>
      <c r="Q89" s="77">
        <f>+SUM(Altas!E133:AI133)</f>
        <v>0</v>
      </c>
      <c r="R89" s="77">
        <f>VLOOKUP(H89,Tabla2[[#All],[IDPV]:[PP VOZ]],120,0)</f>
        <v>0.41306087536539887</v>
      </c>
      <c r="S89" s="77">
        <f t="shared" si="60"/>
        <v>-0.41306087536539887</v>
      </c>
      <c r="T89" s="66">
        <f t="shared" si="61"/>
        <v>0</v>
      </c>
      <c r="U89" s="78">
        <f>+SUM(Altas!E180:AI180)</f>
        <v>0</v>
      </c>
      <c r="V89" s="77">
        <f>VLOOKUP(H89,Tabla2[[#All],[IDPV]:[PP VOZ]],121,0)</f>
        <v>0.12059800083105997</v>
      </c>
      <c r="W89" s="77">
        <f t="shared" si="62"/>
        <v>-0.12059800083105997</v>
      </c>
      <c r="X89" s="66">
        <f t="shared" si="63"/>
        <v>0</v>
      </c>
      <c r="Y89" s="77">
        <f t="shared" si="64"/>
        <v>0</v>
      </c>
      <c r="Z89" s="77">
        <f>VLOOKUP(H89,Tabla2[[#All],[IDPV]:[PP VOZ]],122,0)</f>
        <v>0.41306087536539893</v>
      </c>
      <c r="AA89" s="77">
        <f t="shared" si="65"/>
        <v>-0.41306087536539893</v>
      </c>
      <c r="AB89" s="28">
        <f t="shared" si="66"/>
        <v>0</v>
      </c>
      <c r="AC89" s="28">
        <f t="shared" si="67"/>
        <v>0.94671975156185773</v>
      </c>
      <c r="AD89" s="28">
        <f t="shared" si="68"/>
        <v>-0.94671975156185773</v>
      </c>
      <c r="AE89" s="28">
        <f t="shared" si="69"/>
        <v>0</v>
      </c>
      <c r="AF89" s="28">
        <f t="shared" si="70"/>
        <v>0.41306087536539887</v>
      </c>
      <c r="AG89" s="28">
        <f t="shared" si="71"/>
        <v>-0.41306087536539887</v>
      </c>
      <c r="AH89" s="28">
        <f t="shared" si="72"/>
        <v>0</v>
      </c>
      <c r="AI89" s="28">
        <f t="shared" si="73"/>
        <v>0.12059800083105997</v>
      </c>
      <c r="AJ89" s="28">
        <f t="shared" si="74"/>
        <v>-0.12059800083105997</v>
      </c>
      <c r="AK89" s="28" t="e">
        <f>+Y89/#REF!</f>
        <v>#REF!</v>
      </c>
      <c r="AL89" s="28" t="e">
        <f>+Z89/#REF!</f>
        <v>#REF!</v>
      </c>
      <c r="AM89" s="28" t="e">
        <f>+AK89-AL89</f>
        <v>#REF!</v>
      </c>
      <c r="AN89" s="64">
        <f>+COUNTIFS(FieldWy!A:A,H89,FieldWy!F:F,"&lt;&gt;")</f>
        <v>0</v>
      </c>
      <c r="AO89" s="86">
        <f t="shared" si="75"/>
        <v>0</v>
      </c>
      <c r="AP89" s="64">
        <f>+COUNTIFS(FieldWy!A:A,H89,FieldWy!F:F,"&lt;&gt;",FieldWy!AA:AA,"true")</f>
        <v>0</v>
      </c>
      <c r="AQ89" s="86">
        <f t="shared" si="76"/>
        <v>0</v>
      </c>
      <c r="AR89" s="64">
        <f>+COUNTIFS(FieldWy!A:A,H89,FieldWy!F:F,"&lt;&gt;",FieldWy!X:X,"PORTABILIDAD")</f>
        <v>0</v>
      </c>
      <c r="AS89" s="64">
        <f t="shared" si="77"/>
        <v>0</v>
      </c>
      <c r="AT89" s="64">
        <f t="shared" si="79"/>
        <v>0</v>
      </c>
      <c r="AU89" s="86">
        <f t="shared" si="78"/>
        <v>0</v>
      </c>
    </row>
    <row r="90" spans="1:47" hidden="1" x14ac:dyDescent="0.2">
      <c r="A90" t="s">
        <v>457</v>
      </c>
      <c r="B90" t="s">
        <v>453</v>
      </c>
      <c r="C90" s="43">
        <v>1</v>
      </c>
      <c r="H90">
        <v>2093259</v>
      </c>
      <c r="I90" t="s">
        <v>439</v>
      </c>
      <c r="J90" t="s">
        <v>470</v>
      </c>
      <c r="K90" s="43" t="s">
        <v>280</v>
      </c>
      <c r="L90" s="66">
        <f t="shared" si="57"/>
        <v>0</v>
      </c>
      <c r="M90" s="77">
        <f>SUM(Altas!E87:AI87)</f>
        <v>0</v>
      </c>
      <c r="N90" s="77">
        <f>VLOOKUP(H90,Cuota!$D:$DU,119,0)</f>
        <v>4.2512067544850485</v>
      </c>
      <c r="O90" s="77">
        <f t="shared" si="58"/>
        <v>-4.2512067544850485</v>
      </c>
      <c r="P90" s="66">
        <f t="shared" si="59"/>
        <v>0</v>
      </c>
      <c r="Q90" s="77">
        <f>+SUM(Altas!E134:AI134)</f>
        <v>0</v>
      </c>
      <c r="R90" s="77">
        <f>VLOOKUP(H90,Tabla2[[#All],[IDPV]:[PP VOZ]],120,0)</f>
        <v>3.442173961378324</v>
      </c>
      <c r="S90" s="77">
        <f t="shared" si="60"/>
        <v>-3.442173961378324</v>
      </c>
      <c r="T90" s="66">
        <f t="shared" si="61"/>
        <v>0</v>
      </c>
      <c r="U90" s="78">
        <f>+SUM(Altas!E181:AI181)</f>
        <v>0</v>
      </c>
      <c r="V90" s="77">
        <f>VLOOKUP(H90,Tabla2[[#All],[IDPV]:[PP VOZ]],121,0)</f>
        <v>0.12059800083105997</v>
      </c>
      <c r="W90" s="77">
        <f t="shared" si="62"/>
        <v>-0.12059800083105997</v>
      </c>
      <c r="X90" s="66">
        <f t="shared" si="63"/>
        <v>0</v>
      </c>
      <c r="Y90" s="77">
        <f t="shared" si="64"/>
        <v>0</v>
      </c>
      <c r="Z90" s="77">
        <f>VLOOKUP(H90,Tabla2[[#All],[IDPV]:[PP VOZ]],122,0)</f>
        <v>0.68843479227566462</v>
      </c>
      <c r="AA90" s="77">
        <f t="shared" si="65"/>
        <v>-0.68843479227566462</v>
      </c>
      <c r="AB90" s="28">
        <f t="shared" si="66"/>
        <v>0</v>
      </c>
      <c r="AC90" s="28">
        <f t="shared" si="67"/>
        <v>4.2512067544850485</v>
      </c>
      <c r="AD90" s="28">
        <f t="shared" si="68"/>
        <v>-4.2512067544850485</v>
      </c>
      <c r="AE90" s="28">
        <f t="shared" si="69"/>
        <v>0</v>
      </c>
      <c r="AF90" s="28">
        <f t="shared" si="70"/>
        <v>3.442173961378324</v>
      </c>
      <c r="AG90" s="28">
        <f t="shared" si="71"/>
        <v>-3.442173961378324</v>
      </c>
      <c r="AH90" s="28">
        <f t="shared" si="72"/>
        <v>0</v>
      </c>
      <c r="AI90" s="28">
        <f t="shared" si="73"/>
        <v>0.12059800083105997</v>
      </c>
      <c r="AJ90" s="28">
        <f t="shared" si="74"/>
        <v>-0.12059800083105997</v>
      </c>
      <c r="AN90" s="64">
        <f>+COUNTIFS(FieldWy!A:A,H90,FieldWy!F:F,"&lt;&gt;")</f>
        <v>0</v>
      </c>
      <c r="AO90" s="86">
        <f t="shared" si="75"/>
        <v>0</v>
      </c>
      <c r="AP90" s="64">
        <f>+COUNTIFS(FieldWy!A:A,H90,FieldWy!F:F,"&lt;&gt;",FieldWy!AA:AA,"true")</f>
        <v>0</v>
      </c>
      <c r="AQ90" s="86">
        <f t="shared" si="76"/>
        <v>0</v>
      </c>
      <c r="AR90" s="64">
        <f>+COUNTIFS(FieldWy!A:A,H90,FieldWy!F:F,"&lt;&gt;",FieldWy!X:X,"PORTABILIDAD")</f>
        <v>0</v>
      </c>
      <c r="AS90" s="64">
        <f t="shared" si="77"/>
        <v>0</v>
      </c>
      <c r="AT90" s="64">
        <f t="shared" si="79"/>
        <v>0</v>
      </c>
      <c r="AU90" s="86">
        <f t="shared" si="78"/>
        <v>0</v>
      </c>
    </row>
    <row r="91" spans="1:47" x14ac:dyDescent="0.2">
      <c r="A91" s="43" t="s">
        <v>99</v>
      </c>
      <c r="B91" s="43" t="s">
        <v>557</v>
      </c>
      <c r="C91" s="43">
        <v>1</v>
      </c>
      <c r="D91" s="43" t="s">
        <v>382</v>
      </c>
      <c r="E91" s="43"/>
      <c r="F91" s="61" t="s">
        <v>383</v>
      </c>
      <c r="G91" s="43" t="s">
        <v>324</v>
      </c>
      <c r="H91" s="43">
        <v>2093373</v>
      </c>
      <c r="I91" s="43" t="s">
        <v>118</v>
      </c>
      <c r="J91" s="43" t="s">
        <v>40</v>
      </c>
      <c r="K91" s="43" t="s">
        <v>5</v>
      </c>
      <c r="L91" s="66">
        <f t="shared" si="57"/>
        <v>0</v>
      </c>
      <c r="M91" s="77">
        <f>SUM(Altas!E88:AI88)</f>
        <v>0</v>
      </c>
      <c r="N91" s="77">
        <f>VLOOKUP(H91,Cuota!$D:$DU,119,0)</f>
        <v>2.9949351707647791</v>
      </c>
      <c r="O91" s="77">
        <f t="shared" si="58"/>
        <v>-2.9949351707647791</v>
      </c>
      <c r="P91" s="66">
        <f t="shared" si="59"/>
        <v>0</v>
      </c>
      <c r="Q91" s="77">
        <f>+SUM(Altas!E135:AI135)</f>
        <v>0</v>
      </c>
      <c r="R91" s="77">
        <f>VLOOKUP(H91,Tabla2[[#All],[IDPV]:[PP VOZ]],120,0)</f>
        <v>1.3597806269272565</v>
      </c>
      <c r="S91" s="77">
        <f t="shared" si="60"/>
        <v>-1.3597806269272565</v>
      </c>
      <c r="T91" s="66">
        <f t="shared" si="61"/>
        <v>0</v>
      </c>
      <c r="U91" s="78">
        <f>+SUM(Altas!E182:AI182)</f>
        <v>0</v>
      </c>
      <c r="V91" s="77">
        <f>VLOOKUP(H91,Tabla2[[#All],[IDPV]:[PP VOZ]],121,0)</f>
        <v>0.24119600166211994</v>
      </c>
      <c r="W91" s="77">
        <f t="shared" si="62"/>
        <v>-0.24119600166211994</v>
      </c>
      <c r="X91" s="66">
        <f t="shared" si="63"/>
        <v>0</v>
      </c>
      <c r="Y91" s="77">
        <f t="shared" si="64"/>
        <v>0</v>
      </c>
      <c r="Z91" s="77">
        <f>VLOOKUP(H91,Tabla2[[#All],[IDPV]:[PP VOZ]],122,0)</f>
        <v>1.3939585421754026</v>
      </c>
      <c r="AA91" s="77">
        <f t="shared" si="65"/>
        <v>-1.3939585421754026</v>
      </c>
      <c r="AB91" s="28">
        <f t="shared" si="66"/>
        <v>0</v>
      </c>
      <c r="AC91" s="28">
        <f t="shared" si="67"/>
        <v>2.9949351707647791</v>
      </c>
      <c r="AD91" s="28">
        <f t="shared" si="68"/>
        <v>-2.9949351707647791</v>
      </c>
      <c r="AE91" s="28">
        <f t="shared" si="69"/>
        <v>0</v>
      </c>
      <c r="AF91" s="28">
        <f t="shared" si="70"/>
        <v>1.3597806269272565</v>
      </c>
      <c r="AG91" s="28">
        <f t="shared" si="71"/>
        <v>-1.3597806269272565</v>
      </c>
      <c r="AH91" s="28">
        <f t="shared" si="72"/>
        <v>0</v>
      </c>
      <c r="AI91" s="28">
        <f t="shared" si="73"/>
        <v>0.24119600166211994</v>
      </c>
      <c r="AJ91" s="28">
        <f t="shared" si="74"/>
        <v>-0.24119600166211994</v>
      </c>
      <c r="AK91" s="28" t="e">
        <f>+Y91/#REF!</f>
        <v>#REF!</v>
      </c>
      <c r="AL91" s="28" t="e">
        <f>+Z91/#REF!</f>
        <v>#REF!</v>
      </c>
      <c r="AM91" s="28" t="e">
        <f>+AK91-AL91</f>
        <v>#REF!</v>
      </c>
      <c r="AN91" s="64">
        <f>+COUNTIFS(FieldWy!A:A,H91,FieldWy!F:F,"&lt;&gt;")</f>
        <v>0</v>
      </c>
      <c r="AO91" s="86">
        <f t="shared" si="75"/>
        <v>0</v>
      </c>
      <c r="AP91" s="64">
        <f>+COUNTIFS(FieldWy!A:A,H91,FieldWy!F:F,"&lt;&gt;",FieldWy!AA:AA,"true")</f>
        <v>0</v>
      </c>
      <c r="AQ91" s="86">
        <f t="shared" si="76"/>
        <v>0</v>
      </c>
      <c r="AR91" s="64">
        <f>+COUNTIFS(FieldWy!A:A,H91,FieldWy!F:F,"&lt;&gt;",FieldWy!X:X,"PORTABILIDAD")</f>
        <v>0</v>
      </c>
      <c r="AS91" s="64">
        <f t="shared" si="77"/>
        <v>0</v>
      </c>
      <c r="AT91" s="64">
        <f t="shared" si="79"/>
        <v>0</v>
      </c>
      <c r="AU91" s="86">
        <f t="shared" si="78"/>
        <v>0</v>
      </c>
    </row>
    <row r="92" spans="1:47" hidden="1" x14ac:dyDescent="0.2">
      <c r="A92" t="s">
        <v>455</v>
      </c>
      <c r="B92" t="s">
        <v>451</v>
      </c>
      <c r="C92" s="43">
        <v>1</v>
      </c>
      <c r="H92">
        <v>2093375</v>
      </c>
      <c r="I92" t="s">
        <v>44</v>
      </c>
      <c r="J92" t="s">
        <v>470</v>
      </c>
      <c r="K92" s="43" t="s">
        <v>280</v>
      </c>
      <c r="L92" s="66">
        <f t="shared" si="57"/>
        <v>0</v>
      </c>
      <c r="M92" s="77">
        <f>SUM(Altas!E89:AI89)</f>
        <v>0</v>
      </c>
      <c r="N92" s="77">
        <f>VLOOKUP(H92,Cuota!$D:$DU,119,0)</f>
        <v>2.4612762945683202</v>
      </c>
      <c r="O92" s="77">
        <f t="shared" si="58"/>
        <v>-2.4612762945683202</v>
      </c>
      <c r="P92" s="66">
        <f t="shared" si="59"/>
        <v>0</v>
      </c>
      <c r="Q92" s="77">
        <f>+SUM(Altas!E136:AI136)</f>
        <v>0</v>
      </c>
      <c r="R92" s="77">
        <f>VLOOKUP(H92,Tabla2[[#All],[IDPV]:[PP VOZ]],120,0)</f>
        <v>1.7899304599167285</v>
      </c>
      <c r="S92" s="77">
        <f t="shared" si="60"/>
        <v>-1.7899304599167285</v>
      </c>
      <c r="T92" s="66">
        <f t="shared" si="61"/>
        <v>0</v>
      </c>
      <c r="U92" s="78">
        <f>+SUM(Altas!E183:AI183)</f>
        <v>0</v>
      </c>
      <c r="V92" s="77">
        <f>VLOOKUP(H92,Tabla2[[#All],[IDPV]:[PP VOZ]],121,0)</f>
        <v>0.12059800083105997</v>
      </c>
      <c r="W92" s="77">
        <f t="shared" si="62"/>
        <v>-0.12059800083105997</v>
      </c>
      <c r="X92" s="66">
        <f t="shared" si="63"/>
        <v>0</v>
      </c>
      <c r="Y92" s="77">
        <f t="shared" si="64"/>
        <v>0</v>
      </c>
      <c r="Z92" s="77">
        <f>VLOOKUP(H92,Tabla2[[#All],[IDPV]:[PP VOZ]],122,0)</f>
        <v>0.55074783382053183</v>
      </c>
      <c r="AA92" s="77">
        <f t="shared" si="65"/>
        <v>-0.55074783382053183</v>
      </c>
      <c r="AB92" s="28">
        <f t="shared" si="66"/>
        <v>0</v>
      </c>
      <c r="AC92" s="28">
        <f t="shared" si="67"/>
        <v>2.4612762945683202</v>
      </c>
      <c r="AD92" s="28">
        <f t="shared" si="68"/>
        <v>-2.4612762945683202</v>
      </c>
      <c r="AE92" s="28">
        <f t="shared" si="69"/>
        <v>0</v>
      </c>
      <c r="AF92" s="28">
        <f t="shared" si="70"/>
        <v>1.7899304599167285</v>
      </c>
      <c r="AG92" s="28">
        <f t="shared" si="71"/>
        <v>-1.7899304599167285</v>
      </c>
      <c r="AH92" s="28">
        <f t="shared" si="72"/>
        <v>0</v>
      </c>
      <c r="AI92" s="28">
        <f t="shared" si="73"/>
        <v>0.12059800083105997</v>
      </c>
      <c r="AJ92" s="28">
        <f t="shared" si="74"/>
        <v>-0.12059800083105997</v>
      </c>
      <c r="AN92" s="64">
        <f>+COUNTIFS(FieldWy!A:A,H92,FieldWy!F:F,"&lt;&gt;")</f>
        <v>0</v>
      </c>
      <c r="AO92" s="86">
        <f t="shared" si="75"/>
        <v>0</v>
      </c>
      <c r="AP92" s="64">
        <f>+COUNTIFS(FieldWy!A:A,H92,FieldWy!F:F,"&lt;&gt;",FieldWy!AA:AA,"true")</f>
        <v>0</v>
      </c>
      <c r="AQ92" s="86">
        <f t="shared" si="76"/>
        <v>0</v>
      </c>
      <c r="AR92" s="64">
        <f>+COUNTIFS(FieldWy!A:A,H92,FieldWy!F:F,"&lt;&gt;",FieldWy!X:X,"PORTABILIDAD")</f>
        <v>0</v>
      </c>
      <c r="AS92" s="64">
        <f t="shared" si="77"/>
        <v>0</v>
      </c>
      <c r="AT92" s="64">
        <f t="shared" si="79"/>
        <v>0</v>
      </c>
      <c r="AU92" s="86">
        <f t="shared" si="78"/>
        <v>0</v>
      </c>
    </row>
    <row r="93" spans="1:47" hidden="1" x14ac:dyDescent="0.2">
      <c r="A93" t="s">
        <v>457</v>
      </c>
      <c r="B93" t="s">
        <v>453</v>
      </c>
      <c r="C93" s="43">
        <v>1</v>
      </c>
      <c r="H93">
        <v>2093377</v>
      </c>
      <c r="I93" t="s">
        <v>440</v>
      </c>
      <c r="J93" t="s">
        <v>467</v>
      </c>
      <c r="K93" s="43" t="s">
        <v>282</v>
      </c>
      <c r="L93" s="66">
        <f t="shared" si="57"/>
        <v>0</v>
      </c>
      <c r="M93" s="77">
        <f>SUM(Altas!E90:AI90)</f>
        <v>0</v>
      </c>
      <c r="N93" s="77">
        <f>VLOOKUP(H93,Cuota!$D:$DU,119,0)</f>
        <v>1.2391826260961967</v>
      </c>
      <c r="O93" s="77">
        <f t="shared" si="58"/>
        <v>-1.2391826260961967</v>
      </c>
      <c r="P93" s="66">
        <f t="shared" si="59"/>
        <v>0</v>
      </c>
      <c r="Q93" s="77">
        <f>+SUM(Altas!E137:AI137)</f>
        <v>0</v>
      </c>
      <c r="R93" s="77">
        <f>VLOOKUP(H93,Tabla2[[#All],[IDPV]:[PP VOZ]],120,0)</f>
        <v>0.82612175073079774</v>
      </c>
      <c r="S93" s="77">
        <f t="shared" si="60"/>
        <v>-0.82612175073079774</v>
      </c>
      <c r="T93" s="66">
        <f t="shared" si="61"/>
        <v>0</v>
      </c>
      <c r="U93" s="78">
        <f>+SUM(Altas!E184:AI184)</f>
        <v>0</v>
      </c>
      <c r="V93" s="77">
        <f>VLOOKUP(H93,Tabla2[[#All],[IDPV]:[PP VOZ]],121,0)</f>
        <v>0</v>
      </c>
      <c r="W93" s="77">
        <f t="shared" si="62"/>
        <v>0</v>
      </c>
      <c r="X93" s="66">
        <f t="shared" si="63"/>
        <v>0</v>
      </c>
      <c r="Y93" s="77">
        <f t="shared" si="64"/>
        <v>0</v>
      </c>
      <c r="Z93" s="77">
        <f>VLOOKUP(H93,Tabla2[[#All],[IDPV]:[PP VOZ]],122,0)</f>
        <v>0.41306087536539893</v>
      </c>
      <c r="AA93" s="77">
        <f t="shared" si="65"/>
        <v>-0.41306087536539893</v>
      </c>
      <c r="AB93" s="28">
        <f t="shared" si="66"/>
        <v>0</v>
      </c>
      <c r="AC93" s="28">
        <f t="shared" si="67"/>
        <v>1.2391826260961967</v>
      </c>
      <c r="AD93" s="28">
        <f t="shared" si="68"/>
        <v>-1.2391826260961967</v>
      </c>
      <c r="AE93" s="28">
        <f t="shared" si="69"/>
        <v>0</v>
      </c>
      <c r="AF93" s="28">
        <f t="shared" si="70"/>
        <v>0.82612175073079774</v>
      </c>
      <c r="AG93" s="28">
        <f t="shared" si="71"/>
        <v>-0.82612175073079774</v>
      </c>
      <c r="AH93" s="28">
        <f t="shared" si="72"/>
        <v>0</v>
      </c>
      <c r="AI93" s="28">
        <f t="shared" si="73"/>
        <v>0</v>
      </c>
      <c r="AJ93" s="28">
        <f t="shared" si="74"/>
        <v>0</v>
      </c>
      <c r="AN93" s="64">
        <f>+COUNTIFS(FieldWy!A:A,H93,FieldWy!F:F,"&lt;&gt;")</f>
        <v>0</v>
      </c>
      <c r="AO93" s="86">
        <f t="shared" si="75"/>
        <v>0</v>
      </c>
      <c r="AP93" s="64">
        <f>+COUNTIFS(FieldWy!A:A,H93,FieldWy!F:F,"&lt;&gt;",FieldWy!AA:AA,"true")</f>
        <v>0</v>
      </c>
      <c r="AQ93" s="86">
        <f t="shared" si="76"/>
        <v>0</v>
      </c>
      <c r="AR93" s="64">
        <f>+COUNTIFS(FieldWy!A:A,H93,FieldWy!F:F,"&lt;&gt;",FieldWy!X:X,"PORTABILIDAD")</f>
        <v>0</v>
      </c>
      <c r="AS93" s="64">
        <f t="shared" si="77"/>
        <v>0</v>
      </c>
      <c r="AT93" s="64">
        <f t="shared" si="79"/>
        <v>0</v>
      </c>
      <c r="AU93" s="86">
        <f t="shared" si="78"/>
        <v>0</v>
      </c>
    </row>
    <row r="94" spans="1:47" x14ac:dyDescent="0.2">
      <c r="A94" s="43" t="s">
        <v>99</v>
      </c>
      <c r="B94" s="43" t="s">
        <v>125</v>
      </c>
      <c r="C94" s="43">
        <v>1</v>
      </c>
      <c r="D94" s="43" t="s">
        <v>543</v>
      </c>
      <c r="E94" s="43" t="s">
        <v>345</v>
      </c>
      <c r="F94" s="43"/>
      <c r="G94" s="43" t="s">
        <v>305</v>
      </c>
      <c r="H94" s="43">
        <v>2093389</v>
      </c>
      <c r="I94" s="43" t="s">
        <v>45</v>
      </c>
      <c r="J94" s="43" t="s">
        <v>23</v>
      </c>
      <c r="K94" s="43" t="s">
        <v>7</v>
      </c>
      <c r="L94" s="66">
        <f t="shared" si="57"/>
        <v>0</v>
      </c>
      <c r="M94" s="77">
        <f>SUM(Altas!E91:AI91)</f>
        <v>0</v>
      </c>
      <c r="N94" s="77">
        <f>VLOOKUP(H94,Cuota!$D:$DU,119,0)</f>
        <v>0.94671975156185773</v>
      </c>
      <c r="O94" s="77">
        <f t="shared" si="58"/>
        <v>-0.94671975156185773</v>
      </c>
      <c r="P94" s="66">
        <f t="shared" si="59"/>
        <v>0</v>
      </c>
      <c r="Q94" s="77">
        <f>+SUM(Altas!E138:AI138)</f>
        <v>0</v>
      </c>
      <c r="R94" s="77">
        <f>VLOOKUP(H94,Tabla2[[#All],[IDPV]:[PP VOZ]],120,0)</f>
        <v>0.41306087536539887</v>
      </c>
      <c r="S94" s="77">
        <f t="shared" si="60"/>
        <v>-0.41306087536539887</v>
      </c>
      <c r="T94" s="66">
        <f t="shared" si="61"/>
        <v>0</v>
      </c>
      <c r="U94" s="78">
        <f>+SUM(Altas!E185:AI185)</f>
        <v>0</v>
      </c>
      <c r="V94" s="77">
        <f>VLOOKUP(H94,Tabla2[[#All],[IDPV]:[PP VOZ]],121,0)</f>
        <v>0.12059800083105997</v>
      </c>
      <c r="W94" s="77">
        <f t="shared" si="62"/>
        <v>-0.12059800083105997</v>
      </c>
      <c r="X94" s="66">
        <f t="shared" si="63"/>
        <v>0</v>
      </c>
      <c r="Y94" s="77">
        <f t="shared" si="64"/>
        <v>0</v>
      </c>
      <c r="Z94" s="77">
        <f>VLOOKUP(H94,Tabla2[[#All],[IDPV]:[PP VOZ]],122,0)</f>
        <v>0.41306087536539893</v>
      </c>
      <c r="AA94" s="77">
        <f t="shared" si="65"/>
        <v>-0.41306087536539893</v>
      </c>
      <c r="AB94" s="28">
        <f t="shared" si="66"/>
        <v>0</v>
      </c>
      <c r="AC94" s="28">
        <f t="shared" si="67"/>
        <v>0.94671975156185773</v>
      </c>
      <c r="AD94" s="28">
        <f t="shared" si="68"/>
        <v>-0.94671975156185773</v>
      </c>
      <c r="AE94" s="28">
        <f t="shared" si="69"/>
        <v>0</v>
      </c>
      <c r="AF94" s="28">
        <f t="shared" si="70"/>
        <v>0.41306087536539887</v>
      </c>
      <c r="AG94" s="28">
        <f t="shared" si="71"/>
        <v>-0.41306087536539887</v>
      </c>
      <c r="AH94" s="28">
        <f t="shared" si="72"/>
        <v>0</v>
      </c>
      <c r="AI94" s="28">
        <f t="shared" si="73"/>
        <v>0.12059800083105997</v>
      </c>
      <c r="AJ94" s="28">
        <f t="shared" si="74"/>
        <v>-0.12059800083105997</v>
      </c>
      <c r="AK94" s="28" t="e">
        <f>+Y94/#REF!</f>
        <v>#REF!</v>
      </c>
      <c r="AL94" s="28" t="e">
        <f>+Z94/#REF!</f>
        <v>#REF!</v>
      </c>
      <c r="AM94" s="28" t="e">
        <f>+AK94-AL94</f>
        <v>#REF!</v>
      </c>
      <c r="AN94" s="64">
        <f>+COUNTIFS(FieldWy!A:A,H94,FieldWy!F:F,"&lt;&gt;")</f>
        <v>0</v>
      </c>
      <c r="AO94" s="86">
        <f t="shared" si="75"/>
        <v>0</v>
      </c>
      <c r="AP94" s="64">
        <f>+COUNTIFS(FieldWy!A:A,H94,FieldWy!F:F,"&lt;&gt;",FieldWy!AA:AA,"true")</f>
        <v>0</v>
      </c>
      <c r="AQ94" s="86">
        <f t="shared" si="76"/>
        <v>0</v>
      </c>
      <c r="AR94" s="64">
        <f>+COUNTIFS(FieldWy!A:A,H94,FieldWy!F:F,"&lt;&gt;",FieldWy!X:X,"PORTABILIDAD")</f>
        <v>0</v>
      </c>
      <c r="AS94" s="64">
        <f t="shared" si="77"/>
        <v>0</v>
      </c>
      <c r="AT94" s="64">
        <f t="shared" si="79"/>
        <v>0</v>
      </c>
      <c r="AU94" s="86">
        <f t="shared" si="78"/>
        <v>0</v>
      </c>
    </row>
    <row r="95" spans="1:47" x14ac:dyDescent="0.2">
      <c r="A95" s="43" t="s">
        <v>123</v>
      </c>
      <c r="B95" s="43" t="s">
        <v>125</v>
      </c>
      <c r="C95" s="43">
        <v>1</v>
      </c>
      <c r="D95" s="43" t="s">
        <v>382</v>
      </c>
      <c r="E95" s="43" t="s">
        <v>346</v>
      </c>
      <c r="F95" s="43"/>
      <c r="G95" s="43" t="s">
        <v>324</v>
      </c>
      <c r="H95" s="43">
        <v>2093457</v>
      </c>
      <c r="I95" s="43" t="s">
        <v>46</v>
      </c>
      <c r="J95" s="43" t="s">
        <v>17</v>
      </c>
      <c r="K95" s="43" t="s">
        <v>7</v>
      </c>
      <c r="L95" s="66">
        <f t="shared" si="57"/>
        <v>0</v>
      </c>
      <c r="M95" s="77">
        <f>SUM(Altas!E92:AI92)</f>
        <v>0</v>
      </c>
      <c r="N95" s="77">
        <f>VLOOKUP(H95,Cuota!$D:$DU,119,0)</f>
        <v>0.94671975156185773</v>
      </c>
      <c r="O95" s="77">
        <f t="shared" si="58"/>
        <v>-0.94671975156185773</v>
      </c>
      <c r="P95" s="66">
        <f t="shared" si="59"/>
        <v>0</v>
      </c>
      <c r="Q95" s="77">
        <f>+SUM(Altas!E139:AI139)</f>
        <v>0</v>
      </c>
      <c r="R95" s="77">
        <f>VLOOKUP(H95,Tabla2[[#All],[IDPV]:[PP VOZ]],120,0)</f>
        <v>0.41306087536539887</v>
      </c>
      <c r="S95" s="77">
        <f t="shared" si="60"/>
        <v>-0.41306087536539887</v>
      </c>
      <c r="T95" s="66">
        <f t="shared" si="61"/>
        <v>0</v>
      </c>
      <c r="U95" s="78">
        <f>+SUM(Altas!E186:AI186)</f>
        <v>0</v>
      </c>
      <c r="V95" s="77">
        <f>VLOOKUP(H95,Tabla2[[#All],[IDPV]:[PP VOZ]],121,0)</f>
        <v>0.12059800083105997</v>
      </c>
      <c r="W95" s="77">
        <f t="shared" si="62"/>
        <v>-0.12059800083105997</v>
      </c>
      <c r="X95" s="66">
        <f t="shared" si="63"/>
        <v>0</v>
      </c>
      <c r="Y95" s="77">
        <f t="shared" si="64"/>
        <v>0</v>
      </c>
      <c r="Z95" s="77">
        <f>VLOOKUP(H95,Tabla2[[#All],[IDPV]:[PP VOZ]],122,0)</f>
        <v>0.41306087536539893</v>
      </c>
      <c r="AA95" s="77">
        <f t="shared" si="65"/>
        <v>-0.41306087536539893</v>
      </c>
      <c r="AB95" s="28">
        <f t="shared" si="66"/>
        <v>0</v>
      </c>
      <c r="AC95" s="28">
        <f t="shared" si="67"/>
        <v>0.94671975156185773</v>
      </c>
      <c r="AD95" s="28">
        <f t="shared" si="68"/>
        <v>-0.94671975156185773</v>
      </c>
      <c r="AE95" s="28">
        <f t="shared" si="69"/>
        <v>0</v>
      </c>
      <c r="AF95" s="28">
        <f t="shared" si="70"/>
        <v>0.41306087536539887</v>
      </c>
      <c r="AG95" s="28">
        <f t="shared" si="71"/>
        <v>-0.41306087536539887</v>
      </c>
      <c r="AH95" s="28">
        <f t="shared" si="72"/>
        <v>0</v>
      </c>
      <c r="AI95" s="28">
        <f t="shared" si="73"/>
        <v>0.12059800083105997</v>
      </c>
      <c r="AJ95" s="28">
        <f t="shared" si="74"/>
        <v>-0.12059800083105997</v>
      </c>
      <c r="AK95" s="28" t="e">
        <f>+Y95/#REF!</f>
        <v>#REF!</v>
      </c>
      <c r="AL95" s="28" t="e">
        <f>+Z95/#REF!</f>
        <v>#REF!</v>
      </c>
      <c r="AM95" s="28" t="e">
        <f>+AK95-AL95</f>
        <v>#REF!</v>
      </c>
      <c r="AN95" s="64">
        <f>+COUNTIFS(FieldWy!A:A,H95,FieldWy!F:F,"&lt;&gt;")</f>
        <v>0</v>
      </c>
      <c r="AO95" s="86">
        <f t="shared" si="75"/>
        <v>0</v>
      </c>
      <c r="AP95" s="64">
        <f>+COUNTIFS(FieldWy!A:A,H95,FieldWy!F:F,"&lt;&gt;",FieldWy!AA:AA,"true")</f>
        <v>0</v>
      </c>
      <c r="AQ95" s="86">
        <f t="shared" si="76"/>
        <v>0</v>
      </c>
      <c r="AR95" s="64">
        <f>+COUNTIFS(FieldWy!A:A,H95,FieldWy!F:F,"&lt;&gt;",FieldWy!X:X,"PORTABILIDAD")</f>
        <v>0</v>
      </c>
      <c r="AS95" s="64">
        <f t="shared" si="77"/>
        <v>0</v>
      </c>
      <c r="AT95" s="64">
        <f t="shared" si="79"/>
        <v>0</v>
      </c>
      <c r="AU95" s="86">
        <f t="shared" si="78"/>
        <v>0</v>
      </c>
    </row>
    <row r="96" spans="1:47" x14ac:dyDescent="0.2">
      <c r="A96" s="43" t="s">
        <v>99</v>
      </c>
      <c r="B96" s="43" t="s">
        <v>557</v>
      </c>
      <c r="C96" s="43">
        <v>1</v>
      </c>
      <c r="D96" s="43" t="s">
        <v>382</v>
      </c>
      <c r="E96" s="43"/>
      <c r="F96" s="43"/>
      <c r="G96" s="43" t="s">
        <v>305</v>
      </c>
      <c r="H96" s="43">
        <v>2093564</v>
      </c>
      <c r="I96" s="43" t="s">
        <v>105</v>
      </c>
      <c r="J96" s="43" t="s">
        <v>40</v>
      </c>
      <c r="K96" s="43" t="s">
        <v>7</v>
      </c>
      <c r="L96" s="66">
        <f t="shared" si="57"/>
        <v>0</v>
      </c>
      <c r="M96" s="77">
        <f>SUM(Altas!E93:AI93)</f>
        <v>0</v>
      </c>
      <c r="N96" s="77">
        <f>VLOOKUP(H96,Cuota!$D:$DU,119,0)</f>
        <v>0.94671975156185773</v>
      </c>
      <c r="O96" s="77">
        <f t="shared" si="58"/>
        <v>-0.94671975156185773</v>
      </c>
      <c r="P96" s="66">
        <f t="shared" si="59"/>
        <v>0</v>
      </c>
      <c r="Q96" s="77">
        <f>+SUM(Altas!E140:AI140)</f>
        <v>0</v>
      </c>
      <c r="R96" s="77">
        <f>VLOOKUP(H96,Tabla2[[#All],[IDPV]:[PP VOZ]],120,0)</f>
        <v>0.41306087536539887</v>
      </c>
      <c r="S96" s="77">
        <f t="shared" si="60"/>
        <v>-0.41306087536539887</v>
      </c>
      <c r="T96" s="66">
        <f t="shared" si="61"/>
        <v>0</v>
      </c>
      <c r="U96" s="78">
        <f>+SUM(Altas!E187:AI187)</f>
        <v>0</v>
      </c>
      <c r="V96" s="77">
        <f>VLOOKUP(H96,Tabla2[[#All],[IDPV]:[PP VOZ]],121,0)</f>
        <v>0.12059800083105997</v>
      </c>
      <c r="W96" s="77">
        <f t="shared" si="62"/>
        <v>-0.12059800083105997</v>
      </c>
      <c r="X96" s="66">
        <f t="shared" si="63"/>
        <v>0</v>
      </c>
      <c r="Y96" s="77">
        <f t="shared" si="64"/>
        <v>0</v>
      </c>
      <c r="Z96" s="77">
        <f>VLOOKUP(H96,Tabla2[[#All],[IDPV]:[PP VOZ]],122,0)</f>
        <v>0.41306087536539893</v>
      </c>
      <c r="AA96" s="77">
        <f t="shared" si="65"/>
        <v>-0.41306087536539893</v>
      </c>
      <c r="AB96" s="28">
        <f t="shared" si="66"/>
        <v>0</v>
      </c>
      <c r="AC96" s="28">
        <f t="shared" si="67"/>
        <v>0.94671975156185773</v>
      </c>
      <c r="AD96" s="28">
        <f t="shared" si="68"/>
        <v>-0.94671975156185773</v>
      </c>
      <c r="AE96" s="28">
        <f t="shared" si="69"/>
        <v>0</v>
      </c>
      <c r="AF96" s="28">
        <f t="shared" si="70"/>
        <v>0.41306087536539887</v>
      </c>
      <c r="AG96" s="28">
        <f t="shared" si="71"/>
        <v>-0.41306087536539887</v>
      </c>
      <c r="AH96" s="28">
        <f t="shared" si="72"/>
        <v>0</v>
      </c>
      <c r="AI96" s="28">
        <f t="shared" si="73"/>
        <v>0.12059800083105997</v>
      </c>
      <c r="AJ96" s="28">
        <f t="shared" si="74"/>
        <v>-0.12059800083105997</v>
      </c>
      <c r="AK96" s="28" t="e">
        <f>+Y96/#REF!</f>
        <v>#REF!</v>
      </c>
      <c r="AL96" s="28" t="e">
        <f>+Z96/#REF!</f>
        <v>#REF!</v>
      </c>
      <c r="AM96" s="28" t="e">
        <f>+AK96-AL96</f>
        <v>#REF!</v>
      </c>
      <c r="AN96" s="64">
        <f>+COUNTIFS(FieldWy!A:A,H96,FieldWy!F:F,"&lt;&gt;")</f>
        <v>0</v>
      </c>
      <c r="AO96" s="86">
        <f t="shared" si="75"/>
        <v>0</v>
      </c>
      <c r="AP96" s="64">
        <f>+COUNTIFS(FieldWy!A:A,H96,FieldWy!F:F,"&lt;&gt;",FieldWy!AA:AA,"true")</f>
        <v>0</v>
      </c>
      <c r="AQ96" s="86">
        <f t="shared" si="76"/>
        <v>0</v>
      </c>
      <c r="AR96" s="64">
        <f>+COUNTIFS(FieldWy!A:A,H96,FieldWy!F:F,"&lt;&gt;",FieldWy!X:X,"PORTABILIDAD")</f>
        <v>0</v>
      </c>
      <c r="AS96" s="64">
        <f t="shared" si="77"/>
        <v>0</v>
      </c>
      <c r="AT96" s="64">
        <f t="shared" si="79"/>
        <v>0</v>
      </c>
      <c r="AU96" s="86">
        <f t="shared" si="78"/>
        <v>0</v>
      </c>
    </row>
    <row r="97" spans="1:47" x14ac:dyDescent="0.2">
      <c r="A97" s="43" t="s">
        <v>99</v>
      </c>
      <c r="B97" s="43" t="s">
        <v>127</v>
      </c>
      <c r="C97" s="43">
        <v>1</v>
      </c>
      <c r="D97" s="43" t="s">
        <v>387</v>
      </c>
      <c r="E97" s="43" t="s">
        <v>349</v>
      </c>
      <c r="F97" s="43"/>
      <c r="G97" s="43" t="s">
        <v>343</v>
      </c>
      <c r="H97" s="43">
        <v>2093570</v>
      </c>
      <c r="I97" s="43" t="s">
        <v>106</v>
      </c>
      <c r="J97" s="43" t="s">
        <v>37</v>
      </c>
      <c r="K97" s="43" t="s">
        <v>7</v>
      </c>
      <c r="L97" s="66">
        <f t="shared" si="57"/>
        <v>0</v>
      </c>
      <c r="M97" s="77">
        <f>SUM(Altas!E94:AI94)</f>
        <v>0</v>
      </c>
      <c r="N97" s="77">
        <f>VLOOKUP(H97,Cuota!$D:$DU,119,0)</f>
        <v>0.94671975156185773</v>
      </c>
      <c r="O97" s="77">
        <f t="shared" si="58"/>
        <v>-0.94671975156185773</v>
      </c>
      <c r="P97" s="66">
        <f t="shared" si="59"/>
        <v>0</v>
      </c>
      <c r="Q97" s="77">
        <f>+SUM(Altas!E141:AI141)</f>
        <v>0</v>
      </c>
      <c r="R97" s="77">
        <f>VLOOKUP(H97,Tabla2[[#All],[IDPV]:[PP VOZ]],120,0)</f>
        <v>0.41306087536539887</v>
      </c>
      <c r="S97" s="77">
        <f t="shared" si="60"/>
        <v>-0.41306087536539887</v>
      </c>
      <c r="T97" s="66">
        <f t="shared" si="61"/>
        <v>0</v>
      </c>
      <c r="U97" s="78">
        <f>+SUM(Altas!E188:AI188)</f>
        <v>0</v>
      </c>
      <c r="V97" s="77">
        <f>VLOOKUP(H97,Tabla2[[#All],[IDPV]:[PP VOZ]],121,0)</f>
        <v>0.12059800083105997</v>
      </c>
      <c r="W97" s="77">
        <f t="shared" si="62"/>
        <v>-0.12059800083105997</v>
      </c>
      <c r="X97" s="66">
        <f t="shared" si="63"/>
        <v>0</v>
      </c>
      <c r="Y97" s="77">
        <f t="shared" si="64"/>
        <v>0</v>
      </c>
      <c r="Z97" s="77">
        <f>VLOOKUP(H97,Tabla2[[#All],[IDPV]:[PP VOZ]],122,0)</f>
        <v>0.41306087536539893</v>
      </c>
      <c r="AA97" s="77">
        <f t="shared" si="65"/>
        <v>-0.41306087536539893</v>
      </c>
      <c r="AB97" s="28">
        <f t="shared" si="66"/>
        <v>0</v>
      </c>
      <c r="AC97" s="28">
        <f t="shared" si="67"/>
        <v>0.94671975156185773</v>
      </c>
      <c r="AD97" s="28">
        <f t="shared" si="68"/>
        <v>-0.94671975156185773</v>
      </c>
      <c r="AE97" s="28">
        <f t="shared" si="69"/>
        <v>0</v>
      </c>
      <c r="AF97" s="28">
        <f t="shared" si="70"/>
        <v>0.41306087536539887</v>
      </c>
      <c r="AG97" s="28">
        <f t="shared" si="71"/>
        <v>-0.41306087536539887</v>
      </c>
      <c r="AH97" s="28">
        <f t="shared" si="72"/>
        <v>0</v>
      </c>
      <c r="AI97" s="28">
        <f t="shared" si="73"/>
        <v>0.12059800083105997</v>
      </c>
      <c r="AJ97" s="28">
        <f t="shared" si="74"/>
        <v>-0.12059800083105997</v>
      </c>
      <c r="AK97" s="28" t="e">
        <f>+Y97/#REF!</f>
        <v>#REF!</v>
      </c>
      <c r="AL97" s="28" t="e">
        <f>+Z97/#REF!</f>
        <v>#REF!</v>
      </c>
      <c r="AM97" s="28" t="e">
        <f>+AK97-AL97</f>
        <v>#REF!</v>
      </c>
      <c r="AN97" s="64">
        <f>+COUNTIFS(FieldWy!A:A,H97,FieldWy!F:F,"&lt;&gt;")</f>
        <v>0</v>
      </c>
      <c r="AO97" s="86">
        <f t="shared" si="75"/>
        <v>0</v>
      </c>
      <c r="AP97" s="64">
        <f>+COUNTIFS(FieldWy!A:A,H97,FieldWy!F:F,"&lt;&gt;",FieldWy!AA:AA,"true")</f>
        <v>0</v>
      </c>
      <c r="AQ97" s="86">
        <f t="shared" si="76"/>
        <v>0</v>
      </c>
      <c r="AR97" s="64">
        <f>+COUNTIFS(FieldWy!A:A,H97,FieldWy!F:F,"&lt;&gt;",FieldWy!X:X,"PORTABILIDAD")</f>
        <v>0</v>
      </c>
      <c r="AS97" s="64">
        <f t="shared" si="77"/>
        <v>0</v>
      </c>
      <c r="AT97" s="64">
        <f t="shared" si="79"/>
        <v>0</v>
      </c>
      <c r="AU97" s="86">
        <f t="shared" si="78"/>
        <v>0</v>
      </c>
    </row>
    <row r="98" spans="1:47" x14ac:dyDescent="0.2">
      <c r="A98" s="43" t="s">
        <v>123</v>
      </c>
      <c r="B98" s="43" t="s">
        <v>125</v>
      </c>
      <c r="C98" s="43">
        <v>1</v>
      </c>
      <c r="D98" s="43"/>
      <c r="E98" s="43"/>
      <c r="F98" s="61" t="s">
        <v>383</v>
      </c>
      <c r="G98" s="43" t="s">
        <v>343</v>
      </c>
      <c r="H98" s="43">
        <v>2093669</v>
      </c>
      <c r="I98" s="43" t="s">
        <v>119</v>
      </c>
      <c r="J98" s="43" t="s">
        <v>17</v>
      </c>
      <c r="K98" s="43" t="s">
        <v>5</v>
      </c>
      <c r="L98" s="66">
        <f t="shared" si="57"/>
        <v>0</v>
      </c>
      <c r="M98" s="77">
        <f>SUM(Altas!E95:AI95)</f>
        <v>0</v>
      </c>
      <c r="N98" s="77">
        <f>VLOOKUP(H98,Cuota!$D:$DU,119,0)</f>
        <v>0.94671975156185773</v>
      </c>
      <c r="O98" s="77">
        <f t="shared" si="58"/>
        <v>-0.94671975156185773</v>
      </c>
      <c r="P98" s="66">
        <f t="shared" si="59"/>
        <v>0</v>
      </c>
      <c r="Q98" s="77">
        <f>+SUM(Altas!E142:AI142)</f>
        <v>0</v>
      </c>
      <c r="R98" s="77">
        <f>VLOOKUP(H98,Tabla2[[#All],[IDPV]:[PP VOZ]],120,0)</f>
        <v>0.55074783382053183</v>
      </c>
      <c r="S98" s="77">
        <f t="shared" si="60"/>
        <v>-0.55074783382053183</v>
      </c>
      <c r="T98" s="66">
        <f t="shared" si="61"/>
        <v>0</v>
      </c>
      <c r="U98" s="78">
        <f>+SUM(Altas!E189:AI189)</f>
        <v>0</v>
      </c>
      <c r="V98" s="77">
        <f>VLOOKUP(H98,Tabla2[[#All],[IDPV]:[PP VOZ]],121,0)</f>
        <v>0.12059800083105997</v>
      </c>
      <c r="W98" s="77">
        <f t="shared" si="62"/>
        <v>-0.12059800083105997</v>
      </c>
      <c r="X98" s="66">
        <f t="shared" si="63"/>
        <v>0</v>
      </c>
      <c r="Y98" s="77">
        <f t="shared" si="64"/>
        <v>0</v>
      </c>
      <c r="Z98" s="77">
        <f>VLOOKUP(H98,Tabla2[[#All],[IDPV]:[PP VOZ]],122,0)</f>
        <v>0.27537391691026591</v>
      </c>
      <c r="AA98" s="77">
        <f t="shared" si="65"/>
        <v>-0.27537391691026591</v>
      </c>
      <c r="AB98" s="28">
        <f t="shared" si="66"/>
        <v>0</v>
      </c>
      <c r="AC98" s="28">
        <f t="shared" si="67"/>
        <v>0.94671975156185773</v>
      </c>
      <c r="AD98" s="28">
        <f t="shared" si="68"/>
        <v>-0.94671975156185773</v>
      </c>
      <c r="AE98" s="28">
        <f t="shared" si="69"/>
        <v>0</v>
      </c>
      <c r="AF98" s="28">
        <f t="shared" si="70"/>
        <v>0.55074783382053183</v>
      </c>
      <c r="AG98" s="28">
        <f t="shared" si="71"/>
        <v>-0.55074783382053183</v>
      </c>
      <c r="AH98" s="28">
        <f t="shared" si="72"/>
        <v>0</v>
      </c>
      <c r="AI98" s="28">
        <f t="shared" si="73"/>
        <v>0.12059800083105997</v>
      </c>
      <c r="AJ98" s="28">
        <f t="shared" si="74"/>
        <v>-0.12059800083105997</v>
      </c>
      <c r="AK98" s="28" t="e">
        <f>+Y98/#REF!</f>
        <v>#REF!</v>
      </c>
      <c r="AL98" s="28" t="e">
        <f>+Z98/#REF!</f>
        <v>#REF!</v>
      </c>
      <c r="AM98" s="28" t="e">
        <f>+AK98-AL98</f>
        <v>#REF!</v>
      </c>
      <c r="AN98" s="64">
        <f>+COUNTIFS(FieldWy!A:A,H98,FieldWy!F:F,"&lt;&gt;")</f>
        <v>0</v>
      </c>
      <c r="AO98" s="86">
        <f t="shared" si="75"/>
        <v>0</v>
      </c>
      <c r="AP98" s="64">
        <f>+COUNTIFS(FieldWy!A:A,H98,FieldWy!F:F,"&lt;&gt;",FieldWy!AA:AA,"true")</f>
        <v>0</v>
      </c>
      <c r="AQ98" s="86">
        <f t="shared" si="76"/>
        <v>0</v>
      </c>
      <c r="AR98" s="64">
        <f>+COUNTIFS(FieldWy!A:A,H98,FieldWy!F:F,"&lt;&gt;",FieldWy!X:X,"PORTABILIDAD")</f>
        <v>0</v>
      </c>
      <c r="AS98" s="64">
        <f t="shared" si="77"/>
        <v>0</v>
      </c>
      <c r="AT98" s="64">
        <f t="shared" si="79"/>
        <v>0</v>
      </c>
      <c r="AU98" s="86">
        <f t="shared" si="78"/>
        <v>0</v>
      </c>
    </row>
    <row r="99" spans="1:47" hidden="1" x14ac:dyDescent="0.2">
      <c r="A99" t="s">
        <v>455</v>
      </c>
      <c r="B99" t="s">
        <v>450</v>
      </c>
      <c r="C99" s="43">
        <v>1</v>
      </c>
      <c r="H99">
        <v>2093677</v>
      </c>
      <c r="I99" t="s">
        <v>441</v>
      </c>
      <c r="J99" t="s">
        <v>461</v>
      </c>
      <c r="K99" s="43" t="s">
        <v>282</v>
      </c>
      <c r="L99" s="66">
        <f t="shared" si="57"/>
        <v>0</v>
      </c>
      <c r="M99" s="77">
        <f>SUM(Altas!E96:AI96)</f>
        <v>0</v>
      </c>
      <c r="N99" s="77">
        <f>VLOOKUP(H99,Cuota!$D:$DU,119,0)</f>
        <v>1.3597806269272565</v>
      </c>
      <c r="O99" s="77">
        <f t="shared" si="58"/>
        <v>-1.3597806269272565</v>
      </c>
      <c r="P99" s="66">
        <f t="shared" si="59"/>
        <v>0</v>
      </c>
      <c r="Q99" s="77">
        <f>+SUM(Altas!E143:AI143)</f>
        <v>0</v>
      </c>
      <c r="R99" s="77">
        <f>VLOOKUP(H99,Tabla2[[#All],[IDPV]:[PP VOZ]],120,0)</f>
        <v>0.68843479227566484</v>
      </c>
      <c r="S99" s="77">
        <f t="shared" si="60"/>
        <v>-0.68843479227566484</v>
      </c>
      <c r="T99" s="66">
        <f t="shared" si="61"/>
        <v>0</v>
      </c>
      <c r="U99" s="78">
        <f>+SUM(Altas!E190:AI190)</f>
        <v>0</v>
      </c>
      <c r="V99" s="77">
        <f>VLOOKUP(H99,Tabla2[[#All],[IDPV]:[PP VOZ]],121,0)</f>
        <v>0.12059800083105997</v>
      </c>
      <c r="W99" s="77">
        <f t="shared" si="62"/>
        <v>-0.12059800083105997</v>
      </c>
      <c r="X99" s="66">
        <f t="shared" si="63"/>
        <v>0</v>
      </c>
      <c r="Y99" s="77">
        <f t="shared" si="64"/>
        <v>0</v>
      </c>
      <c r="Z99" s="77">
        <f>VLOOKUP(H99,Tabla2[[#All],[IDPV]:[PP VOZ]],122,0)</f>
        <v>0.55074783382053172</v>
      </c>
      <c r="AA99" s="77">
        <f t="shared" si="65"/>
        <v>-0.55074783382053172</v>
      </c>
      <c r="AB99" s="28">
        <f t="shared" si="66"/>
        <v>0</v>
      </c>
      <c r="AC99" s="28">
        <f t="shared" si="67"/>
        <v>1.3597806269272565</v>
      </c>
      <c r="AD99" s="28">
        <f t="shared" si="68"/>
        <v>-1.3597806269272565</v>
      </c>
      <c r="AE99" s="28">
        <f t="shared" si="69"/>
        <v>0</v>
      </c>
      <c r="AF99" s="28">
        <f t="shared" si="70"/>
        <v>0.68843479227566484</v>
      </c>
      <c r="AG99" s="28">
        <f t="shared" si="71"/>
        <v>-0.68843479227566484</v>
      </c>
      <c r="AH99" s="28">
        <f t="shared" si="72"/>
        <v>0</v>
      </c>
      <c r="AI99" s="28">
        <f t="shared" si="73"/>
        <v>0.12059800083105997</v>
      </c>
      <c r="AJ99" s="28">
        <f t="shared" si="74"/>
        <v>-0.12059800083105997</v>
      </c>
      <c r="AN99" s="64">
        <f>+COUNTIFS(FieldWy!A:A,H99,FieldWy!F:F,"&lt;&gt;")</f>
        <v>0</v>
      </c>
      <c r="AO99" s="86">
        <f t="shared" si="75"/>
        <v>0</v>
      </c>
      <c r="AP99" s="64">
        <f>+COUNTIFS(FieldWy!A:A,H99,FieldWy!F:F,"&lt;&gt;",FieldWy!AA:AA,"true")</f>
        <v>0</v>
      </c>
      <c r="AQ99" s="86">
        <f t="shared" si="76"/>
        <v>0</v>
      </c>
      <c r="AR99" s="64">
        <f>+COUNTIFS(FieldWy!A:A,H99,FieldWy!F:F,"&lt;&gt;",FieldWy!X:X,"PORTABILIDAD")</f>
        <v>0</v>
      </c>
      <c r="AS99" s="64">
        <f t="shared" si="77"/>
        <v>0</v>
      </c>
      <c r="AT99" s="64">
        <f t="shared" si="79"/>
        <v>0</v>
      </c>
      <c r="AU99" s="86">
        <f t="shared" si="78"/>
        <v>0</v>
      </c>
    </row>
    <row r="100" spans="1:47" x14ac:dyDescent="0.2">
      <c r="A100" s="43" t="s">
        <v>123</v>
      </c>
      <c r="B100" s="43" t="s">
        <v>557</v>
      </c>
      <c r="C100" s="43">
        <v>1</v>
      </c>
      <c r="D100" s="43"/>
      <c r="E100" s="43"/>
      <c r="F100" s="43"/>
      <c r="G100" s="43" t="s">
        <v>305</v>
      </c>
      <c r="H100" s="43">
        <v>2093678</v>
      </c>
      <c r="I100" s="43" t="s">
        <v>121</v>
      </c>
      <c r="J100" s="43" t="s">
        <v>38</v>
      </c>
      <c r="K100" s="43" t="s">
        <v>47</v>
      </c>
      <c r="L100" s="66">
        <f t="shared" si="57"/>
        <v>0</v>
      </c>
      <c r="M100" s="77">
        <f>SUM(Altas!E97:AI97)</f>
        <v>0</v>
      </c>
      <c r="N100" s="77">
        <f>VLOOKUP(H100,Cuota!$D:$DU,119,0)</f>
        <v>0.94671975156185773</v>
      </c>
      <c r="O100" s="77">
        <f t="shared" si="58"/>
        <v>-0.94671975156185773</v>
      </c>
      <c r="P100" s="66">
        <f t="shared" si="59"/>
        <v>0</v>
      </c>
      <c r="Q100" s="77">
        <f>+SUM(Altas!E144:AI144)</f>
        <v>0</v>
      </c>
      <c r="R100" s="77">
        <f>VLOOKUP(H100,Tabla2[[#All],[IDPV]:[PP VOZ]],120,0)</f>
        <v>0.41306087536539887</v>
      </c>
      <c r="S100" s="77">
        <f t="shared" si="60"/>
        <v>-0.41306087536539887</v>
      </c>
      <c r="T100" s="66">
        <f t="shared" si="61"/>
        <v>0</v>
      </c>
      <c r="U100" s="78">
        <f>+SUM(Altas!E191:AI191)</f>
        <v>0</v>
      </c>
      <c r="V100" s="77">
        <f>VLOOKUP(H100,Tabla2[[#All],[IDPV]:[PP VOZ]],121,0)</f>
        <v>0.12059800083105997</v>
      </c>
      <c r="W100" s="77">
        <f t="shared" si="62"/>
        <v>-0.12059800083105997</v>
      </c>
      <c r="X100" s="66">
        <f t="shared" si="63"/>
        <v>0</v>
      </c>
      <c r="Y100" s="77">
        <f t="shared" si="64"/>
        <v>0</v>
      </c>
      <c r="Z100" s="77">
        <f>VLOOKUP(H100,Tabla2[[#All],[IDPV]:[PP VOZ]],122,0)</f>
        <v>0.41306087536539893</v>
      </c>
      <c r="AA100" s="77">
        <f t="shared" si="65"/>
        <v>-0.41306087536539893</v>
      </c>
      <c r="AB100" s="28">
        <f t="shared" si="66"/>
        <v>0</v>
      </c>
      <c r="AC100" s="28">
        <f t="shared" si="67"/>
        <v>0.94671975156185773</v>
      </c>
      <c r="AD100" s="28">
        <f t="shared" si="68"/>
        <v>-0.94671975156185773</v>
      </c>
      <c r="AE100" s="28">
        <f t="shared" si="69"/>
        <v>0</v>
      </c>
      <c r="AF100" s="28">
        <f t="shared" si="70"/>
        <v>0.41306087536539887</v>
      </c>
      <c r="AG100" s="28">
        <f t="shared" si="71"/>
        <v>-0.41306087536539887</v>
      </c>
      <c r="AH100" s="28">
        <f t="shared" si="72"/>
        <v>0</v>
      </c>
      <c r="AI100" s="28">
        <f t="shared" si="73"/>
        <v>0.12059800083105997</v>
      </c>
      <c r="AJ100" s="28">
        <f t="shared" si="74"/>
        <v>-0.12059800083105997</v>
      </c>
      <c r="AK100" s="28" t="e">
        <f>+Y100/#REF!</f>
        <v>#REF!</v>
      </c>
      <c r="AL100" s="28" t="e">
        <f>+Z100/#REF!</f>
        <v>#REF!</v>
      </c>
      <c r="AM100" s="28" t="e">
        <f>+AK100-AL100</f>
        <v>#REF!</v>
      </c>
      <c r="AN100" s="64">
        <f>+COUNTIFS(FieldWy!A:A,H100,FieldWy!F:F,"&lt;&gt;")</f>
        <v>0</v>
      </c>
      <c r="AO100" s="86">
        <f t="shared" si="75"/>
        <v>0</v>
      </c>
      <c r="AP100" s="64">
        <f>+COUNTIFS(FieldWy!A:A,H100,FieldWy!F:F,"&lt;&gt;",FieldWy!AA:AA,"true")</f>
        <v>0</v>
      </c>
      <c r="AQ100" s="86">
        <f t="shared" si="76"/>
        <v>0</v>
      </c>
      <c r="AR100" s="64">
        <f>+COUNTIFS(FieldWy!A:A,H100,FieldWy!F:F,"&lt;&gt;",FieldWy!X:X,"PORTABILIDAD")</f>
        <v>0</v>
      </c>
      <c r="AS100" s="64">
        <f t="shared" si="77"/>
        <v>0</v>
      </c>
      <c r="AT100" s="64">
        <f t="shared" si="79"/>
        <v>0</v>
      </c>
      <c r="AU100" s="86">
        <f t="shared" si="78"/>
        <v>0</v>
      </c>
    </row>
    <row r="101" spans="1:47" hidden="1" x14ac:dyDescent="0.2">
      <c r="A101" t="s">
        <v>457</v>
      </c>
      <c r="B101" t="s">
        <v>453</v>
      </c>
      <c r="C101" s="43">
        <v>1</v>
      </c>
      <c r="H101">
        <v>2093727</v>
      </c>
      <c r="I101" t="s">
        <v>442</v>
      </c>
      <c r="J101" t="s">
        <v>467</v>
      </c>
      <c r="K101" s="43" t="s">
        <v>280</v>
      </c>
      <c r="L101" s="66">
        <f t="shared" si="57"/>
        <v>0</v>
      </c>
      <c r="M101" s="77">
        <f>SUM(Altas!E98:AI98)</f>
        <v>0</v>
      </c>
      <c r="N101" s="77">
        <f>VLOOKUP(H101,Cuota!$D:$DU,119,0)</f>
        <v>4.5265806713953145</v>
      </c>
      <c r="O101" s="77">
        <f t="shared" si="58"/>
        <v>-4.5265806713953145</v>
      </c>
      <c r="P101" s="66">
        <f t="shared" si="59"/>
        <v>0</v>
      </c>
      <c r="Q101" s="77">
        <f>+SUM(Altas!E145:AI145)</f>
        <v>0</v>
      </c>
      <c r="R101" s="77">
        <f>VLOOKUP(H101,Tabla2[[#All],[IDPV]:[PP VOZ]],120,0)</f>
        <v>3.442173961378324</v>
      </c>
      <c r="S101" s="77">
        <f t="shared" si="60"/>
        <v>-3.442173961378324</v>
      </c>
      <c r="T101" s="66">
        <f t="shared" si="61"/>
        <v>0</v>
      </c>
      <c r="U101" s="78">
        <f>+SUM(Altas!E192:AI192)</f>
        <v>0</v>
      </c>
      <c r="V101" s="77">
        <f>VLOOKUP(H101,Tabla2[[#All],[IDPV]:[PP VOZ]],121,0)</f>
        <v>0.12059800083105997</v>
      </c>
      <c r="W101" s="77">
        <f t="shared" si="62"/>
        <v>-0.12059800083105997</v>
      </c>
      <c r="X101" s="66">
        <f t="shared" si="63"/>
        <v>0</v>
      </c>
      <c r="Y101" s="77">
        <f t="shared" si="64"/>
        <v>0</v>
      </c>
      <c r="Z101" s="77">
        <f>VLOOKUP(H101,Tabla2[[#All],[IDPV]:[PP VOZ]],122,0)</f>
        <v>0.96380870918593065</v>
      </c>
      <c r="AA101" s="77">
        <f t="shared" si="65"/>
        <v>-0.96380870918593065</v>
      </c>
      <c r="AB101" s="28">
        <f t="shared" si="66"/>
        <v>0</v>
      </c>
      <c r="AC101" s="28">
        <f t="shared" si="67"/>
        <v>4.5265806713953145</v>
      </c>
      <c r="AD101" s="28">
        <f t="shared" si="68"/>
        <v>-4.5265806713953145</v>
      </c>
      <c r="AE101" s="28">
        <f t="shared" si="69"/>
        <v>0</v>
      </c>
      <c r="AF101" s="28">
        <f t="shared" si="70"/>
        <v>3.442173961378324</v>
      </c>
      <c r="AG101" s="28">
        <f t="shared" si="71"/>
        <v>-3.442173961378324</v>
      </c>
      <c r="AH101" s="28">
        <f t="shared" si="72"/>
        <v>0</v>
      </c>
      <c r="AI101" s="28">
        <f t="shared" si="73"/>
        <v>0.12059800083105997</v>
      </c>
      <c r="AJ101" s="28">
        <f t="shared" si="74"/>
        <v>-0.12059800083105997</v>
      </c>
      <c r="AN101" s="64">
        <f>+COUNTIFS(FieldWy!A:A,H101,FieldWy!F:F,"&lt;&gt;")</f>
        <v>0</v>
      </c>
      <c r="AO101" s="86">
        <f t="shared" si="75"/>
        <v>0</v>
      </c>
      <c r="AP101" s="64">
        <f>+COUNTIFS(FieldWy!A:A,H101,FieldWy!F:F,"&lt;&gt;",FieldWy!AA:AA,"true")</f>
        <v>0</v>
      </c>
      <c r="AQ101" s="86">
        <f t="shared" si="76"/>
        <v>0</v>
      </c>
      <c r="AR101" s="64">
        <f>+COUNTIFS(FieldWy!A:A,H101,FieldWy!F:F,"&lt;&gt;",FieldWy!X:X,"PORTABILIDAD")</f>
        <v>0</v>
      </c>
      <c r="AS101" s="64">
        <f t="shared" si="77"/>
        <v>0</v>
      </c>
      <c r="AT101" s="64">
        <f t="shared" si="79"/>
        <v>0</v>
      </c>
      <c r="AU101" s="86">
        <f t="shared" si="78"/>
        <v>0</v>
      </c>
    </row>
    <row r="102" spans="1:47" x14ac:dyDescent="0.2">
      <c r="A102" s="43" t="s">
        <v>99</v>
      </c>
      <c r="B102" s="43" t="s">
        <v>125</v>
      </c>
      <c r="C102" s="43">
        <v>1</v>
      </c>
      <c r="D102" s="43" t="s">
        <v>387</v>
      </c>
      <c r="E102" s="43" t="s">
        <v>348</v>
      </c>
      <c r="F102" s="43"/>
      <c r="G102" s="43" t="s">
        <v>305</v>
      </c>
      <c r="H102" s="43">
        <v>2093747</v>
      </c>
      <c r="I102" s="43" t="s">
        <v>120</v>
      </c>
      <c r="J102" s="43" t="s">
        <v>23</v>
      </c>
      <c r="K102" s="43" t="s">
        <v>47</v>
      </c>
      <c r="L102" s="66">
        <f t="shared" ref="L102:L133" si="80">+IFERROR(M102/N102,0)</f>
        <v>0</v>
      </c>
      <c r="M102" s="77">
        <f>SUM(Altas!E99:AI99)</f>
        <v>0</v>
      </c>
      <c r="N102" s="77">
        <f>VLOOKUP(H102,Cuota!$D:$DU,119,0)</f>
        <v>1.0844067100169905</v>
      </c>
      <c r="O102" s="77">
        <f t="shared" ref="O102:O133" si="81">+M102-N102</f>
        <v>-1.0844067100169905</v>
      </c>
      <c r="P102" s="66">
        <f t="shared" ref="P102:P133" si="82">+IFERROR(Q102/R102,0)</f>
        <v>0</v>
      </c>
      <c r="Q102" s="77">
        <f>+SUM(Altas!E146:AI146)</f>
        <v>0</v>
      </c>
      <c r="R102" s="77">
        <f>VLOOKUP(H102,Tabla2[[#All],[IDPV]:[PP VOZ]],120,0)</f>
        <v>0.41306087536539887</v>
      </c>
      <c r="S102" s="77">
        <f t="shared" ref="S102:S133" si="83">+Q102-R102</f>
        <v>-0.41306087536539887</v>
      </c>
      <c r="T102" s="66">
        <f t="shared" ref="T102:T133" si="84">+IFERROR(U102/V102,0)</f>
        <v>0</v>
      </c>
      <c r="U102" s="78">
        <f>+SUM(Altas!E193:AI193)</f>
        <v>0</v>
      </c>
      <c r="V102" s="77">
        <f>VLOOKUP(H102,Tabla2[[#All],[IDPV]:[PP VOZ]],121,0)</f>
        <v>0.12059800083105997</v>
      </c>
      <c r="W102" s="77">
        <f t="shared" ref="W102:W133" si="85">+U102-V102</f>
        <v>-0.12059800083105997</v>
      </c>
      <c r="X102" s="66">
        <f t="shared" ref="X102:X133" si="86">+IFERROR(Y102/Z102,0)</f>
        <v>0</v>
      </c>
      <c r="Y102" s="77">
        <f t="shared" ref="Y102:Y111" si="87">+M102-(Q102+U102)</f>
        <v>0</v>
      </c>
      <c r="Z102" s="77">
        <f>VLOOKUP(H102,Tabla2[[#All],[IDPV]:[PP VOZ]],122,0)</f>
        <v>0.55074783382053172</v>
      </c>
      <c r="AA102" s="77">
        <f t="shared" ref="AA102:AA133" si="88">+Y102-Z102</f>
        <v>-0.55074783382053172</v>
      </c>
      <c r="AB102" s="28">
        <f t="shared" ref="AB102:AB111" si="89">+M102/$F$3</f>
        <v>0</v>
      </c>
      <c r="AC102" s="28">
        <f t="shared" ref="AC102:AC111" si="90">+N102/$F$3</f>
        <v>1.0844067100169905</v>
      </c>
      <c r="AD102" s="28">
        <f t="shared" ref="AD102:AD133" si="91">+AB102-AC102</f>
        <v>-1.0844067100169905</v>
      </c>
      <c r="AE102" s="28">
        <f t="shared" ref="AE102:AE111" si="92">+Q102/$F$3</f>
        <v>0</v>
      </c>
      <c r="AF102" s="28">
        <f t="shared" ref="AF102:AF111" si="93">+R102/$F$3</f>
        <v>0.41306087536539887</v>
      </c>
      <c r="AG102" s="28">
        <f t="shared" ref="AG102:AG133" si="94">+AE102-AF102</f>
        <v>-0.41306087536539887</v>
      </c>
      <c r="AH102" s="28">
        <f t="shared" ref="AH102:AH111" si="95">+U102/$F$3</f>
        <v>0</v>
      </c>
      <c r="AI102" s="28">
        <f t="shared" ref="AI102:AI111" si="96">+V102/$F$3</f>
        <v>0.12059800083105997</v>
      </c>
      <c r="AJ102" s="28">
        <f t="shared" ref="AJ102:AJ133" si="97">+AH102-AI102</f>
        <v>-0.12059800083105997</v>
      </c>
      <c r="AK102" s="28" t="e">
        <f>+Y102/#REF!</f>
        <v>#REF!</v>
      </c>
      <c r="AL102" s="28" t="e">
        <f>+Z102/#REF!</f>
        <v>#REF!</v>
      </c>
      <c r="AM102" s="28" t="e">
        <f>+AK102-AL102</f>
        <v>#REF!</v>
      </c>
      <c r="AN102" s="64">
        <f>+COUNTIFS(FieldWy!A:A,H102,FieldWy!F:F,"&lt;&gt;")</f>
        <v>0</v>
      </c>
      <c r="AO102" s="86">
        <f t="shared" ref="AO102:AO133" si="98">+M102-AN102</f>
        <v>0</v>
      </c>
      <c r="AP102" s="64">
        <f>+COUNTIFS(FieldWy!A:A,H102,FieldWy!F:F,"&lt;&gt;",FieldWy!AA:AA,"true")</f>
        <v>0</v>
      </c>
      <c r="AQ102" s="86">
        <f t="shared" ref="AQ102:AQ133" si="99">+Q102-AP102</f>
        <v>0</v>
      </c>
      <c r="AR102" s="64">
        <f>+COUNTIFS(FieldWy!A:A,H102,FieldWy!F:F,"&lt;&gt;",FieldWy!X:X,"PORTABILIDAD")</f>
        <v>0</v>
      </c>
      <c r="AS102" s="64">
        <f t="shared" ref="AS102:AS133" si="100">+U102+AR102</f>
        <v>0</v>
      </c>
      <c r="AT102" s="64">
        <f t="shared" si="79"/>
        <v>0</v>
      </c>
      <c r="AU102" s="86">
        <f t="shared" ref="AU102:AU133" si="101">+Y102-AT102</f>
        <v>0</v>
      </c>
    </row>
    <row r="103" spans="1:47" hidden="1" x14ac:dyDescent="0.2">
      <c r="A103" t="s">
        <v>455</v>
      </c>
      <c r="B103" t="s">
        <v>452</v>
      </c>
      <c r="C103" s="43">
        <v>1</v>
      </c>
      <c r="H103">
        <v>2093749</v>
      </c>
      <c r="I103" t="s">
        <v>443</v>
      </c>
      <c r="J103" t="s">
        <v>479</v>
      </c>
      <c r="K103" s="43" t="s">
        <v>281</v>
      </c>
      <c r="L103" s="66">
        <f t="shared" si="80"/>
        <v>0</v>
      </c>
      <c r="M103" s="77">
        <f>SUM(Altas!E100:AI100)</f>
        <v>0</v>
      </c>
      <c r="N103" s="77">
        <f>VLOOKUP(H103,Cuota!$D:$DU,119,0)</f>
        <v>1.3597806269272565</v>
      </c>
      <c r="O103" s="77">
        <f t="shared" si="81"/>
        <v>-1.3597806269272565</v>
      </c>
      <c r="P103" s="66">
        <f t="shared" si="82"/>
        <v>0</v>
      </c>
      <c r="Q103" s="77">
        <f>+SUM(Altas!E147:AI147)</f>
        <v>0</v>
      </c>
      <c r="R103" s="77">
        <f>VLOOKUP(H103,Tabla2[[#All],[IDPV]:[PP VOZ]],120,0)</f>
        <v>0.68843479227566484</v>
      </c>
      <c r="S103" s="77">
        <f t="shared" si="83"/>
        <v>-0.68843479227566484</v>
      </c>
      <c r="T103" s="66">
        <f t="shared" si="84"/>
        <v>0</v>
      </c>
      <c r="U103" s="78">
        <f>+SUM(Altas!E194:AI194)</f>
        <v>0</v>
      </c>
      <c r="V103" s="77">
        <f>VLOOKUP(H103,Tabla2[[#All],[IDPV]:[PP VOZ]],121,0)</f>
        <v>0.12059800083105997</v>
      </c>
      <c r="W103" s="77">
        <f t="shared" si="85"/>
        <v>-0.12059800083105997</v>
      </c>
      <c r="X103" s="66">
        <f t="shared" si="86"/>
        <v>0</v>
      </c>
      <c r="Y103" s="77">
        <f t="shared" si="87"/>
        <v>0</v>
      </c>
      <c r="Z103" s="77">
        <f>VLOOKUP(H103,Tabla2[[#All],[IDPV]:[PP VOZ]],122,0)</f>
        <v>0.55074783382053172</v>
      </c>
      <c r="AA103" s="77">
        <f t="shared" si="88"/>
        <v>-0.55074783382053172</v>
      </c>
      <c r="AB103" s="28">
        <f t="shared" si="89"/>
        <v>0</v>
      </c>
      <c r="AC103" s="28">
        <f t="shared" si="90"/>
        <v>1.3597806269272565</v>
      </c>
      <c r="AD103" s="28">
        <f t="shared" si="91"/>
        <v>-1.3597806269272565</v>
      </c>
      <c r="AE103" s="28">
        <f t="shared" si="92"/>
        <v>0</v>
      </c>
      <c r="AF103" s="28">
        <f t="shared" si="93"/>
        <v>0.68843479227566484</v>
      </c>
      <c r="AG103" s="28">
        <f t="shared" si="94"/>
        <v>-0.68843479227566484</v>
      </c>
      <c r="AH103" s="28">
        <f t="shared" si="95"/>
        <v>0</v>
      </c>
      <c r="AI103" s="28">
        <f t="shared" si="96"/>
        <v>0.12059800083105997</v>
      </c>
      <c r="AJ103" s="28">
        <f t="shared" si="97"/>
        <v>-0.12059800083105997</v>
      </c>
      <c r="AN103" s="64">
        <f>+COUNTIFS(FieldWy!A:A,H103,FieldWy!F:F,"&lt;&gt;")</f>
        <v>0</v>
      </c>
      <c r="AO103" s="86">
        <f t="shared" si="98"/>
        <v>0</v>
      </c>
      <c r="AP103" s="64">
        <f>+COUNTIFS(FieldWy!A:A,H103,FieldWy!F:F,"&lt;&gt;",FieldWy!AA:AA,"true")</f>
        <v>0</v>
      </c>
      <c r="AQ103" s="86">
        <f t="shared" si="99"/>
        <v>0</v>
      </c>
      <c r="AR103" s="64">
        <f>+COUNTIFS(FieldWy!A:A,H103,FieldWy!F:F,"&lt;&gt;",FieldWy!X:X,"PORTABILIDAD")</f>
        <v>0</v>
      </c>
      <c r="AS103" s="64">
        <f t="shared" si="100"/>
        <v>0</v>
      </c>
      <c r="AT103" s="64">
        <f t="shared" si="79"/>
        <v>0</v>
      </c>
      <c r="AU103" s="86">
        <f t="shared" si="101"/>
        <v>0</v>
      </c>
    </row>
    <row r="104" spans="1:47" hidden="1" x14ac:dyDescent="0.2">
      <c r="A104" t="s">
        <v>455</v>
      </c>
      <c r="B104" t="s">
        <v>452</v>
      </c>
      <c r="C104" s="43">
        <v>1</v>
      </c>
      <c r="H104">
        <v>2093808</v>
      </c>
      <c r="I104" t="s">
        <v>444</v>
      </c>
      <c r="J104" t="s">
        <v>480</v>
      </c>
      <c r="K104" s="43" t="s">
        <v>280</v>
      </c>
      <c r="L104" s="66">
        <f t="shared" si="80"/>
        <v>0</v>
      </c>
      <c r="M104" s="77">
        <f>SUM(Altas!E101:AI101)</f>
        <v>0</v>
      </c>
      <c r="N104" s="77">
        <f>VLOOKUP(H104,Cuota!$D:$DU,119,0)</f>
        <v>1.6351545438375226</v>
      </c>
      <c r="O104" s="77">
        <f t="shared" si="81"/>
        <v>-1.6351545438375226</v>
      </c>
      <c r="P104" s="66">
        <f t="shared" si="82"/>
        <v>0</v>
      </c>
      <c r="Q104" s="77">
        <f>+SUM(Altas!E148:AI148)</f>
        <v>0</v>
      </c>
      <c r="R104" s="77">
        <f>VLOOKUP(H104,Tabla2[[#All],[IDPV]:[PP VOZ]],120,0)</f>
        <v>0.55074783382053183</v>
      </c>
      <c r="S104" s="77">
        <f t="shared" si="83"/>
        <v>-0.55074783382053183</v>
      </c>
      <c r="T104" s="66">
        <f t="shared" si="84"/>
        <v>0</v>
      </c>
      <c r="U104" s="78">
        <f>+SUM(Altas!E195:AI195)</f>
        <v>0</v>
      </c>
      <c r="V104" s="77">
        <f>VLOOKUP(H104,Tabla2[[#All],[IDPV]:[PP VOZ]],121,0)</f>
        <v>0.12059800083105997</v>
      </c>
      <c r="W104" s="77">
        <f t="shared" si="85"/>
        <v>-0.12059800083105997</v>
      </c>
      <c r="X104" s="66">
        <f t="shared" si="86"/>
        <v>0</v>
      </c>
      <c r="Y104" s="77">
        <f t="shared" si="87"/>
        <v>0</v>
      </c>
      <c r="Z104" s="77">
        <f>VLOOKUP(H104,Tabla2[[#All],[IDPV]:[PP VOZ]],122,0)</f>
        <v>0.96380870918593076</v>
      </c>
      <c r="AA104" s="77">
        <f t="shared" si="88"/>
        <v>-0.96380870918593076</v>
      </c>
      <c r="AB104" s="28">
        <f t="shared" si="89"/>
        <v>0</v>
      </c>
      <c r="AC104" s="28">
        <f t="shared" si="90"/>
        <v>1.6351545438375226</v>
      </c>
      <c r="AD104" s="28">
        <f t="shared" si="91"/>
        <v>-1.6351545438375226</v>
      </c>
      <c r="AE104" s="28">
        <f t="shared" si="92"/>
        <v>0</v>
      </c>
      <c r="AF104" s="28">
        <f t="shared" si="93"/>
        <v>0.55074783382053183</v>
      </c>
      <c r="AG104" s="28">
        <f t="shared" si="94"/>
        <v>-0.55074783382053183</v>
      </c>
      <c r="AH104" s="28">
        <f t="shared" si="95"/>
        <v>0</v>
      </c>
      <c r="AI104" s="28">
        <f t="shared" si="96"/>
        <v>0.12059800083105997</v>
      </c>
      <c r="AJ104" s="28">
        <f t="shared" si="97"/>
        <v>-0.12059800083105997</v>
      </c>
      <c r="AN104" s="64">
        <f>+COUNTIFS(FieldWy!A:A,H104,FieldWy!F:F,"&lt;&gt;")</f>
        <v>0</v>
      </c>
      <c r="AO104" s="86">
        <f t="shared" si="98"/>
        <v>0</v>
      </c>
      <c r="AP104" s="64">
        <f>+COUNTIFS(FieldWy!A:A,H104,FieldWy!F:F,"&lt;&gt;",FieldWy!AA:AA,"true")</f>
        <v>0</v>
      </c>
      <c r="AQ104" s="86">
        <f t="shared" si="99"/>
        <v>0</v>
      </c>
      <c r="AR104" s="64">
        <f>+COUNTIFS(FieldWy!A:A,H104,FieldWy!F:F,"&lt;&gt;",FieldWy!X:X,"PORTABILIDAD")</f>
        <v>0</v>
      </c>
      <c r="AS104" s="64">
        <f t="shared" si="100"/>
        <v>0</v>
      </c>
      <c r="AT104" s="64">
        <f t="shared" si="79"/>
        <v>0</v>
      </c>
      <c r="AU104" s="86">
        <f t="shared" si="101"/>
        <v>0</v>
      </c>
    </row>
    <row r="105" spans="1:47" x14ac:dyDescent="0.2">
      <c r="A105" s="43" t="s">
        <v>99</v>
      </c>
      <c r="B105" s="43" t="s">
        <v>127</v>
      </c>
      <c r="C105" s="43">
        <v>1</v>
      </c>
      <c r="D105" s="43" t="s">
        <v>544</v>
      </c>
      <c r="E105" s="43" t="s">
        <v>348</v>
      </c>
      <c r="F105" s="43"/>
      <c r="G105" s="43" t="s">
        <v>343</v>
      </c>
      <c r="H105" s="43">
        <v>2093815</v>
      </c>
      <c r="I105" s="43" t="s">
        <v>103</v>
      </c>
      <c r="J105" s="43" t="s">
        <v>21</v>
      </c>
      <c r="K105" s="43" t="s">
        <v>7</v>
      </c>
      <c r="L105" s="66">
        <f t="shared" si="80"/>
        <v>0</v>
      </c>
      <c r="M105" s="77">
        <f>SUM(Altas!E102:AI102)</f>
        <v>0</v>
      </c>
      <c r="N105" s="77">
        <f>VLOOKUP(H105,Cuota!$D:$DU,119,0)</f>
        <v>1.6351545438375223</v>
      </c>
      <c r="O105" s="77">
        <f t="shared" si="81"/>
        <v>-1.6351545438375223</v>
      </c>
      <c r="P105" s="66">
        <f t="shared" si="82"/>
        <v>0</v>
      </c>
      <c r="Q105" s="77">
        <f>+SUM(Altas!E149:AI149)</f>
        <v>0</v>
      </c>
      <c r="R105" s="77">
        <f>VLOOKUP(H105,Tabla2[[#All],[IDPV]:[PP VOZ]],120,0)</f>
        <v>0.96380870918593065</v>
      </c>
      <c r="S105" s="77">
        <f t="shared" si="83"/>
        <v>-0.96380870918593065</v>
      </c>
      <c r="T105" s="66">
        <f t="shared" si="84"/>
        <v>0</v>
      </c>
      <c r="U105" s="78">
        <f>+SUM(Altas!E196:AI196)</f>
        <v>0</v>
      </c>
      <c r="V105" s="77">
        <f>VLOOKUP(H105,Tabla2[[#All],[IDPV]:[PP VOZ]],121,0)</f>
        <v>0.12059800083105997</v>
      </c>
      <c r="W105" s="77">
        <f t="shared" si="85"/>
        <v>-0.12059800083105997</v>
      </c>
      <c r="X105" s="66">
        <f t="shared" si="86"/>
        <v>0</v>
      </c>
      <c r="Y105" s="77">
        <f t="shared" si="87"/>
        <v>0</v>
      </c>
      <c r="Z105" s="77">
        <f>VLOOKUP(H105,Tabla2[[#All],[IDPV]:[PP VOZ]],122,0)</f>
        <v>0.55074783382053183</v>
      </c>
      <c r="AA105" s="77">
        <f t="shared" si="88"/>
        <v>-0.55074783382053183</v>
      </c>
      <c r="AB105" s="28">
        <f t="shared" si="89"/>
        <v>0</v>
      </c>
      <c r="AC105" s="28">
        <f t="shared" si="90"/>
        <v>1.6351545438375223</v>
      </c>
      <c r="AD105" s="28">
        <f t="shared" si="91"/>
        <v>-1.6351545438375223</v>
      </c>
      <c r="AE105" s="28">
        <f t="shared" si="92"/>
        <v>0</v>
      </c>
      <c r="AF105" s="28">
        <f t="shared" si="93"/>
        <v>0.96380870918593065</v>
      </c>
      <c r="AG105" s="28">
        <f t="shared" si="94"/>
        <v>-0.96380870918593065</v>
      </c>
      <c r="AH105" s="28">
        <f t="shared" si="95"/>
        <v>0</v>
      </c>
      <c r="AI105" s="28">
        <f t="shared" si="96"/>
        <v>0.12059800083105997</v>
      </c>
      <c r="AJ105" s="28">
        <f t="shared" si="97"/>
        <v>-0.12059800083105997</v>
      </c>
      <c r="AK105" s="28" t="e">
        <f>+Y105/#REF!</f>
        <v>#REF!</v>
      </c>
      <c r="AL105" s="28" t="e">
        <f>+Z105/#REF!</f>
        <v>#REF!</v>
      </c>
      <c r="AM105" s="28" t="e">
        <f>+AK105-AL105</f>
        <v>#REF!</v>
      </c>
      <c r="AN105" s="64">
        <f>+COUNTIFS(FieldWy!A:A,H105,FieldWy!F:F,"&lt;&gt;")</f>
        <v>0</v>
      </c>
      <c r="AO105" s="86">
        <f t="shared" si="98"/>
        <v>0</v>
      </c>
      <c r="AP105" s="64">
        <f>+COUNTIFS(FieldWy!A:A,H105,FieldWy!F:F,"&lt;&gt;",FieldWy!AA:AA,"true")</f>
        <v>0</v>
      </c>
      <c r="AQ105" s="86">
        <f t="shared" si="99"/>
        <v>0</v>
      </c>
      <c r="AR105" s="64">
        <f>+COUNTIFS(FieldWy!A:A,H105,FieldWy!F:F,"&lt;&gt;",FieldWy!X:X,"PORTABILIDAD")</f>
        <v>0</v>
      </c>
      <c r="AS105" s="64">
        <f t="shared" si="100"/>
        <v>0</v>
      </c>
      <c r="AT105" s="64">
        <f t="shared" si="79"/>
        <v>0</v>
      </c>
      <c r="AU105" s="86">
        <f t="shared" si="101"/>
        <v>0</v>
      </c>
    </row>
    <row r="106" spans="1:47" hidden="1" x14ac:dyDescent="0.2">
      <c r="A106" t="s">
        <v>455</v>
      </c>
      <c r="B106" t="s">
        <v>450</v>
      </c>
      <c r="C106" s="43">
        <v>1</v>
      </c>
      <c r="H106">
        <v>209003824</v>
      </c>
      <c r="I106" t="s">
        <v>445</v>
      </c>
      <c r="J106" t="s">
        <v>471</v>
      </c>
      <c r="K106" s="43" t="s">
        <v>280</v>
      </c>
      <c r="L106" s="66">
        <f t="shared" si="80"/>
        <v>0</v>
      </c>
      <c r="M106" s="77">
        <f>SUM(Altas!E103:AI103)</f>
        <v>0</v>
      </c>
      <c r="N106" s="77">
        <f>VLOOKUP(H106,Cuota!$D:$DU,119,0)</f>
        <v>3.4079960461301777</v>
      </c>
      <c r="O106" s="77">
        <f t="shared" si="81"/>
        <v>-3.4079960461301777</v>
      </c>
      <c r="P106" s="66">
        <f t="shared" si="82"/>
        <v>0</v>
      </c>
      <c r="Q106" s="77">
        <f>+SUM(Altas!E150:AI150)</f>
        <v>0</v>
      </c>
      <c r="R106" s="77">
        <f>VLOOKUP(H106,Tabla2[[#All],[IDPV]:[PP VOZ]],120,0)</f>
        <v>1.5145565430064625</v>
      </c>
      <c r="S106" s="77">
        <f t="shared" si="83"/>
        <v>-1.5145565430064625</v>
      </c>
      <c r="T106" s="66">
        <f t="shared" si="84"/>
        <v>0</v>
      </c>
      <c r="U106" s="78">
        <f>+SUM(Altas!E197:AI197)</f>
        <v>0</v>
      </c>
      <c r="V106" s="77">
        <f>VLOOKUP(H106,Tabla2[[#All],[IDPV]:[PP VOZ]],121,0)</f>
        <v>0.24119600166211994</v>
      </c>
      <c r="W106" s="77">
        <f t="shared" si="85"/>
        <v>-0.24119600166211994</v>
      </c>
      <c r="X106" s="66">
        <f t="shared" si="86"/>
        <v>0</v>
      </c>
      <c r="Y106" s="77">
        <f t="shared" si="87"/>
        <v>0</v>
      </c>
      <c r="Z106" s="77">
        <f>VLOOKUP(H106,Tabla2[[#All],[IDPV]:[PP VOZ]],122,0)</f>
        <v>1.6522435014615953</v>
      </c>
      <c r="AA106" s="77">
        <f t="shared" si="88"/>
        <v>-1.6522435014615953</v>
      </c>
      <c r="AB106" s="28">
        <f t="shared" si="89"/>
        <v>0</v>
      </c>
      <c r="AC106" s="28">
        <f t="shared" si="90"/>
        <v>3.4079960461301777</v>
      </c>
      <c r="AD106" s="28">
        <f t="shared" si="91"/>
        <v>-3.4079960461301777</v>
      </c>
      <c r="AE106" s="28">
        <f t="shared" si="92"/>
        <v>0</v>
      </c>
      <c r="AF106" s="28">
        <f t="shared" si="93"/>
        <v>1.5145565430064625</v>
      </c>
      <c r="AG106" s="28">
        <f t="shared" si="94"/>
        <v>-1.5145565430064625</v>
      </c>
      <c r="AH106" s="28">
        <f t="shared" si="95"/>
        <v>0</v>
      </c>
      <c r="AI106" s="28">
        <f t="shared" si="96"/>
        <v>0.24119600166211994</v>
      </c>
      <c r="AJ106" s="28">
        <f t="shared" si="97"/>
        <v>-0.24119600166211994</v>
      </c>
      <c r="AN106" s="64">
        <f>+COUNTIFS(FieldWy!A:A,H106,FieldWy!F:F,"&lt;&gt;")</f>
        <v>0</v>
      </c>
      <c r="AO106" s="86">
        <f t="shared" si="98"/>
        <v>0</v>
      </c>
      <c r="AP106" s="64">
        <f>+COUNTIFS(FieldWy!A:A,H106,FieldWy!F:F,"&lt;&gt;",FieldWy!AA:AA,"true")</f>
        <v>0</v>
      </c>
      <c r="AQ106" s="86">
        <f t="shared" si="99"/>
        <v>0</v>
      </c>
      <c r="AR106" s="64">
        <f>+COUNTIFS(FieldWy!A:A,H106,FieldWy!F:F,"&lt;&gt;",FieldWy!X:X,"PORTABILIDAD")</f>
        <v>0</v>
      </c>
      <c r="AS106" s="64">
        <f t="shared" si="100"/>
        <v>0</v>
      </c>
      <c r="AT106" s="64">
        <f t="shared" si="79"/>
        <v>0</v>
      </c>
      <c r="AU106" s="86">
        <f t="shared" si="101"/>
        <v>0</v>
      </c>
    </row>
    <row r="107" spans="1:47" hidden="1" x14ac:dyDescent="0.2">
      <c r="A107" t="s">
        <v>455</v>
      </c>
      <c r="B107" t="s">
        <v>450</v>
      </c>
      <c r="C107" s="43">
        <v>1</v>
      </c>
      <c r="H107">
        <v>209003825</v>
      </c>
      <c r="I107" t="s">
        <v>446</v>
      </c>
      <c r="J107" t="s">
        <v>474</v>
      </c>
      <c r="K107" s="43" t="s">
        <v>280</v>
      </c>
      <c r="L107" s="66">
        <f t="shared" si="80"/>
        <v>0</v>
      </c>
      <c r="M107" s="77">
        <f>SUM(Altas!E104:AI104)</f>
        <v>0</v>
      </c>
      <c r="N107" s="77">
        <f>VLOOKUP(H107,Cuota!$D:$DU,119,0)</f>
        <v>4.2512067544850485</v>
      </c>
      <c r="O107" s="77">
        <f t="shared" si="81"/>
        <v>-4.2512067544850485</v>
      </c>
      <c r="P107" s="66">
        <f t="shared" si="82"/>
        <v>0</v>
      </c>
      <c r="Q107" s="77">
        <f>+SUM(Altas!E151:AI151)</f>
        <v>0</v>
      </c>
      <c r="R107" s="77">
        <f>VLOOKUP(H107,Tabla2[[#All],[IDPV]:[PP VOZ]],120,0)</f>
        <v>3.166800044468058</v>
      </c>
      <c r="S107" s="77">
        <f t="shared" si="83"/>
        <v>-3.166800044468058</v>
      </c>
      <c r="T107" s="66">
        <f t="shared" si="84"/>
        <v>0</v>
      </c>
      <c r="U107" s="78">
        <f>+SUM(Altas!E198:AI198)</f>
        <v>0</v>
      </c>
      <c r="V107" s="77">
        <f>VLOOKUP(H107,Tabla2[[#All],[IDPV]:[PP VOZ]],121,0)</f>
        <v>0.12059800083105997</v>
      </c>
      <c r="W107" s="77">
        <f t="shared" si="85"/>
        <v>-0.12059800083105997</v>
      </c>
      <c r="X107" s="66">
        <f t="shared" si="86"/>
        <v>0</v>
      </c>
      <c r="Y107" s="77">
        <f t="shared" si="87"/>
        <v>0</v>
      </c>
      <c r="Z107" s="77">
        <f>VLOOKUP(H107,Tabla2[[#All],[IDPV]:[PP VOZ]],122,0)</f>
        <v>0.96380870918593065</v>
      </c>
      <c r="AA107" s="77">
        <f t="shared" si="88"/>
        <v>-0.96380870918593065</v>
      </c>
      <c r="AB107" s="28">
        <f t="shared" si="89"/>
        <v>0</v>
      </c>
      <c r="AC107" s="28">
        <f t="shared" si="90"/>
        <v>4.2512067544850485</v>
      </c>
      <c r="AD107" s="28">
        <f t="shared" si="91"/>
        <v>-4.2512067544850485</v>
      </c>
      <c r="AE107" s="28">
        <f t="shared" si="92"/>
        <v>0</v>
      </c>
      <c r="AF107" s="28">
        <f t="shared" si="93"/>
        <v>3.166800044468058</v>
      </c>
      <c r="AG107" s="28">
        <f t="shared" si="94"/>
        <v>-3.166800044468058</v>
      </c>
      <c r="AH107" s="28">
        <f t="shared" si="95"/>
        <v>0</v>
      </c>
      <c r="AI107" s="28">
        <f t="shared" si="96"/>
        <v>0.12059800083105997</v>
      </c>
      <c r="AJ107" s="28">
        <f t="shared" si="97"/>
        <v>-0.12059800083105997</v>
      </c>
      <c r="AN107" s="64">
        <f>+COUNTIFS(FieldWy!A:A,H107,FieldWy!F:F,"&lt;&gt;")</f>
        <v>0</v>
      </c>
      <c r="AO107" s="86">
        <f t="shared" si="98"/>
        <v>0</v>
      </c>
      <c r="AP107" s="64">
        <f>+COUNTIFS(FieldWy!A:A,H107,FieldWy!F:F,"&lt;&gt;",FieldWy!AA:AA,"true")</f>
        <v>0</v>
      </c>
      <c r="AQ107" s="86">
        <f t="shared" si="99"/>
        <v>0</v>
      </c>
      <c r="AR107" s="64">
        <f>+COUNTIFS(FieldWy!A:A,H107,FieldWy!F:F,"&lt;&gt;",FieldWy!X:X,"PORTABILIDAD")</f>
        <v>0</v>
      </c>
      <c r="AS107" s="64">
        <f t="shared" si="100"/>
        <v>0</v>
      </c>
      <c r="AT107" s="64">
        <f t="shared" si="79"/>
        <v>0</v>
      </c>
      <c r="AU107" s="86">
        <f t="shared" si="101"/>
        <v>0</v>
      </c>
    </row>
    <row r="108" spans="1:47" hidden="1" x14ac:dyDescent="0.2">
      <c r="A108" t="s">
        <v>455</v>
      </c>
      <c r="B108" t="s">
        <v>451</v>
      </c>
      <c r="C108" s="43">
        <v>1</v>
      </c>
      <c r="H108">
        <v>209003827</v>
      </c>
      <c r="I108" t="s">
        <v>447</v>
      </c>
      <c r="J108" t="s">
        <v>476</v>
      </c>
      <c r="K108" s="43" t="s">
        <v>280</v>
      </c>
      <c r="L108" s="66">
        <f t="shared" si="80"/>
        <v>0</v>
      </c>
      <c r="M108" s="77">
        <f>SUM(Altas!E105:AI105)</f>
        <v>0</v>
      </c>
      <c r="N108" s="77">
        <f>VLOOKUP(H108,Cuota!$D:$DU,119,0)</f>
        <v>4.8019545883055805</v>
      </c>
      <c r="O108" s="77">
        <f t="shared" si="81"/>
        <v>-4.8019545883055805</v>
      </c>
      <c r="P108" s="66">
        <f t="shared" si="82"/>
        <v>0</v>
      </c>
      <c r="Q108" s="77">
        <f>+SUM(Altas!E152:AI152)</f>
        <v>0</v>
      </c>
      <c r="R108" s="77">
        <f>VLOOKUP(H108,Tabla2[[#All],[IDPV]:[PP VOZ]],120,0)</f>
        <v>3.71754787828859</v>
      </c>
      <c r="S108" s="77">
        <f t="shared" si="83"/>
        <v>-3.71754787828859</v>
      </c>
      <c r="T108" s="66">
        <f t="shared" si="84"/>
        <v>0</v>
      </c>
      <c r="U108" s="78">
        <f>+SUM(Altas!E199:AI199)</f>
        <v>0</v>
      </c>
      <c r="V108" s="77">
        <f>VLOOKUP(H108,Tabla2[[#All],[IDPV]:[PP VOZ]],121,0)</f>
        <v>0.12059800083105997</v>
      </c>
      <c r="W108" s="77">
        <f t="shared" si="85"/>
        <v>-0.12059800083105997</v>
      </c>
      <c r="X108" s="66">
        <f t="shared" si="86"/>
        <v>0</v>
      </c>
      <c r="Y108" s="77">
        <f t="shared" si="87"/>
        <v>0</v>
      </c>
      <c r="Z108" s="77">
        <f>VLOOKUP(H108,Tabla2[[#All],[IDPV]:[PP VOZ]],122,0)</f>
        <v>0.96380870918593065</v>
      </c>
      <c r="AA108" s="77">
        <f t="shared" si="88"/>
        <v>-0.96380870918593065</v>
      </c>
      <c r="AB108" s="28">
        <f t="shared" si="89"/>
        <v>0</v>
      </c>
      <c r="AC108" s="28">
        <f t="shared" si="90"/>
        <v>4.8019545883055805</v>
      </c>
      <c r="AD108" s="28">
        <f t="shared" si="91"/>
        <v>-4.8019545883055805</v>
      </c>
      <c r="AE108" s="28">
        <f t="shared" si="92"/>
        <v>0</v>
      </c>
      <c r="AF108" s="28">
        <f t="shared" si="93"/>
        <v>3.71754787828859</v>
      </c>
      <c r="AG108" s="28">
        <f t="shared" si="94"/>
        <v>-3.71754787828859</v>
      </c>
      <c r="AH108" s="28">
        <f t="shared" si="95"/>
        <v>0</v>
      </c>
      <c r="AI108" s="28">
        <f t="shared" si="96"/>
        <v>0.12059800083105997</v>
      </c>
      <c r="AJ108" s="28">
        <f t="shared" si="97"/>
        <v>-0.12059800083105997</v>
      </c>
      <c r="AN108" s="64">
        <f>+COUNTIFS(FieldWy!A:A,H108,FieldWy!F:F,"&lt;&gt;")</f>
        <v>0</v>
      </c>
      <c r="AO108" s="86">
        <f t="shared" si="98"/>
        <v>0</v>
      </c>
      <c r="AP108" s="64">
        <f>+COUNTIFS(FieldWy!A:A,H108,FieldWy!F:F,"&lt;&gt;",FieldWy!AA:AA,"true")</f>
        <v>0</v>
      </c>
      <c r="AQ108" s="86">
        <f t="shared" si="99"/>
        <v>0</v>
      </c>
      <c r="AR108" s="64">
        <f>+COUNTIFS(FieldWy!A:A,H108,FieldWy!F:F,"&lt;&gt;",FieldWy!X:X,"PORTABILIDAD")</f>
        <v>0</v>
      </c>
      <c r="AS108" s="64">
        <f t="shared" si="100"/>
        <v>0</v>
      </c>
      <c r="AT108" s="64">
        <f t="shared" si="79"/>
        <v>0</v>
      </c>
      <c r="AU108" s="86">
        <f t="shared" si="101"/>
        <v>0</v>
      </c>
    </row>
    <row r="109" spans="1:47" hidden="1" x14ac:dyDescent="0.2">
      <c r="A109" t="s">
        <v>456</v>
      </c>
      <c r="B109" t="s">
        <v>453</v>
      </c>
      <c r="C109" s="43">
        <v>1</v>
      </c>
      <c r="H109">
        <v>209003838</v>
      </c>
      <c r="I109" t="s">
        <v>448</v>
      </c>
      <c r="J109" t="s">
        <v>478</v>
      </c>
      <c r="K109" s="43" t="s">
        <v>280</v>
      </c>
      <c r="L109" s="66">
        <f t="shared" si="80"/>
        <v>0</v>
      </c>
      <c r="M109" s="77">
        <f>SUM(Altas!E106:AI106)</f>
        <v>0</v>
      </c>
      <c r="N109" s="77">
        <f>VLOOKUP(H109,Cuota!$D:$DU,119,0)</f>
        <v>3.0120241283888518</v>
      </c>
      <c r="O109" s="77">
        <f t="shared" si="81"/>
        <v>-3.0120241283888518</v>
      </c>
      <c r="P109" s="66">
        <f t="shared" si="82"/>
        <v>0</v>
      </c>
      <c r="Q109" s="77">
        <f>+SUM(Altas!E153:AI153)</f>
        <v>0</v>
      </c>
      <c r="R109" s="77">
        <f>VLOOKUP(H109,Tabla2[[#All],[IDPV]:[PP VOZ]],120,0)</f>
        <v>2.3406782937372603</v>
      </c>
      <c r="S109" s="77">
        <f t="shared" si="83"/>
        <v>-2.3406782937372603</v>
      </c>
      <c r="T109" s="66">
        <f t="shared" si="84"/>
        <v>0</v>
      </c>
      <c r="U109" s="78">
        <f>+SUM(Altas!E200:AI200)</f>
        <v>0</v>
      </c>
      <c r="V109" s="77">
        <f>VLOOKUP(H109,Tabla2[[#All],[IDPV]:[PP VOZ]],121,0)</f>
        <v>0.12059800083105997</v>
      </c>
      <c r="W109" s="77">
        <f t="shared" si="85"/>
        <v>-0.12059800083105997</v>
      </c>
      <c r="X109" s="66">
        <f t="shared" si="86"/>
        <v>0</v>
      </c>
      <c r="Y109" s="77">
        <f t="shared" si="87"/>
        <v>0</v>
      </c>
      <c r="Z109" s="77">
        <f>VLOOKUP(H109,Tabla2[[#All],[IDPV]:[PP VOZ]],122,0)</f>
        <v>0.55074783382053161</v>
      </c>
      <c r="AA109" s="77">
        <f t="shared" si="88"/>
        <v>-0.55074783382053161</v>
      </c>
      <c r="AB109" s="28">
        <f t="shared" si="89"/>
        <v>0</v>
      </c>
      <c r="AC109" s="28">
        <f t="shared" si="90"/>
        <v>3.0120241283888518</v>
      </c>
      <c r="AD109" s="28">
        <f t="shared" si="91"/>
        <v>-3.0120241283888518</v>
      </c>
      <c r="AE109" s="28">
        <f t="shared" si="92"/>
        <v>0</v>
      </c>
      <c r="AF109" s="28">
        <f t="shared" si="93"/>
        <v>2.3406782937372603</v>
      </c>
      <c r="AG109" s="28">
        <f t="shared" si="94"/>
        <v>-2.3406782937372603</v>
      </c>
      <c r="AH109" s="28">
        <f t="shared" si="95"/>
        <v>0</v>
      </c>
      <c r="AI109" s="28">
        <f t="shared" si="96"/>
        <v>0.12059800083105997</v>
      </c>
      <c r="AJ109" s="28">
        <f t="shared" si="97"/>
        <v>-0.12059800083105997</v>
      </c>
      <c r="AN109" s="64">
        <f>+COUNTIFS(FieldWy!A:A,H109,FieldWy!F:F,"&lt;&gt;")</f>
        <v>0</v>
      </c>
      <c r="AO109" s="86">
        <f t="shared" si="98"/>
        <v>0</v>
      </c>
      <c r="AP109" s="64">
        <f>+COUNTIFS(FieldWy!A:A,H109,FieldWy!F:F,"&lt;&gt;",FieldWy!AA:AA,"true")</f>
        <v>0</v>
      </c>
      <c r="AQ109" s="86">
        <f t="shared" si="99"/>
        <v>0</v>
      </c>
      <c r="AR109" s="64">
        <f>+COUNTIFS(FieldWy!A:A,H109,FieldWy!F:F,"&lt;&gt;",FieldWy!X:X,"PORTABILIDAD")</f>
        <v>0</v>
      </c>
      <c r="AS109" s="64">
        <f t="shared" si="100"/>
        <v>0</v>
      </c>
      <c r="AT109" s="64">
        <f t="shared" si="79"/>
        <v>0</v>
      </c>
      <c r="AU109" s="86">
        <f t="shared" si="101"/>
        <v>0</v>
      </c>
    </row>
    <row r="110" spans="1:47" x14ac:dyDescent="0.2">
      <c r="A110" s="43" t="s">
        <v>99</v>
      </c>
      <c r="B110" s="43" t="s">
        <v>127</v>
      </c>
      <c r="C110" s="43">
        <v>1</v>
      </c>
      <c r="D110" s="43" t="s">
        <v>387</v>
      </c>
      <c r="E110" s="43"/>
      <c r="F110" s="43"/>
      <c r="G110" s="43" t="s">
        <v>343</v>
      </c>
      <c r="H110" s="43">
        <v>209003840</v>
      </c>
      <c r="I110" s="43" t="s">
        <v>107</v>
      </c>
      <c r="J110" s="43" t="s">
        <v>21</v>
      </c>
      <c r="K110" s="43" t="s">
        <v>47</v>
      </c>
      <c r="L110" s="66">
        <f t="shared" si="80"/>
        <v>0</v>
      </c>
      <c r="M110" s="77">
        <f>SUM(Altas!E107:AI107)</f>
        <v>0</v>
      </c>
      <c r="N110" s="77">
        <f>VLOOKUP(H110,Cuota!$D:$DU,119,0)</f>
        <v>0.94671975156185773</v>
      </c>
      <c r="O110" s="77">
        <f t="shared" si="81"/>
        <v>-0.94671975156185773</v>
      </c>
      <c r="P110" s="66">
        <f t="shared" si="82"/>
        <v>0</v>
      </c>
      <c r="Q110" s="77">
        <f>+SUM(Altas!E154:AI154)</f>
        <v>0</v>
      </c>
      <c r="R110" s="77">
        <f>VLOOKUP(H110,Tabla2[[#All],[IDPV]:[PP VOZ]],120,0)</f>
        <v>0.41306087536539887</v>
      </c>
      <c r="S110" s="77">
        <f t="shared" si="83"/>
        <v>-0.41306087536539887</v>
      </c>
      <c r="T110" s="66">
        <f t="shared" si="84"/>
        <v>0</v>
      </c>
      <c r="U110" s="78">
        <f>+SUM(Altas!E201:AI201)</f>
        <v>0</v>
      </c>
      <c r="V110" s="77">
        <f>VLOOKUP(H110,Tabla2[[#All],[IDPV]:[PP VOZ]],121,0)</f>
        <v>0.12059800083105997</v>
      </c>
      <c r="W110" s="77">
        <f t="shared" si="85"/>
        <v>-0.12059800083105997</v>
      </c>
      <c r="X110" s="66">
        <f t="shared" si="86"/>
        <v>0</v>
      </c>
      <c r="Y110" s="77">
        <f t="shared" si="87"/>
        <v>0</v>
      </c>
      <c r="Z110" s="77">
        <f>VLOOKUP(H110,Tabla2[[#All],[IDPV]:[PP VOZ]],122,0)</f>
        <v>0.41306087536539893</v>
      </c>
      <c r="AA110" s="77">
        <f t="shared" si="88"/>
        <v>-0.41306087536539893</v>
      </c>
      <c r="AB110" s="28">
        <f t="shared" si="89"/>
        <v>0</v>
      </c>
      <c r="AC110" s="28">
        <f t="shared" si="90"/>
        <v>0.94671975156185773</v>
      </c>
      <c r="AD110" s="28">
        <f t="shared" si="91"/>
        <v>-0.94671975156185773</v>
      </c>
      <c r="AE110" s="28">
        <f t="shared" si="92"/>
        <v>0</v>
      </c>
      <c r="AF110" s="28">
        <f t="shared" si="93"/>
        <v>0.41306087536539887</v>
      </c>
      <c r="AG110" s="28">
        <f t="shared" si="94"/>
        <v>-0.41306087536539887</v>
      </c>
      <c r="AH110" s="28">
        <f t="shared" si="95"/>
        <v>0</v>
      </c>
      <c r="AI110" s="28">
        <f t="shared" si="96"/>
        <v>0.12059800083105997</v>
      </c>
      <c r="AJ110" s="28">
        <f t="shared" si="97"/>
        <v>-0.12059800083105997</v>
      </c>
      <c r="AK110" s="28" t="e">
        <f>+Y110/#REF!</f>
        <v>#REF!</v>
      </c>
      <c r="AL110" s="28" t="e">
        <f>+Z110/#REF!</f>
        <v>#REF!</v>
      </c>
      <c r="AM110" s="28" t="e">
        <f>+AK110-AL110</f>
        <v>#REF!</v>
      </c>
      <c r="AN110" s="64">
        <f>+COUNTIFS(FieldWy!A:A,H110,FieldWy!F:F,"&lt;&gt;")</f>
        <v>0</v>
      </c>
      <c r="AO110" s="86">
        <f t="shared" si="98"/>
        <v>0</v>
      </c>
      <c r="AP110" s="64">
        <f>+COUNTIFS(FieldWy!A:A,H110,FieldWy!F:F,"&lt;&gt;",FieldWy!AA:AA,"true")</f>
        <v>0</v>
      </c>
      <c r="AQ110" s="86">
        <f t="shared" si="99"/>
        <v>0</v>
      </c>
      <c r="AR110" s="64">
        <f>+COUNTIFS(FieldWy!A:A,H110,FieldWy!F:F,"&lt;&gt;",FieldWy!X:X,"PORTABILIDAD")</f>
        <v>0</v>
      </c>
      <c r="AS110" s="64">
        <f t="shared" si="100"/>
        <v>0</v>
      </c>
      <c r="AT110" s="64">
        <f t="shared" si="79"/>
        <v>0</v>
      </c>
      <c r="AU110" s="86">
        <f t="shared" si="101"/>
        <v>0</v>
      </c>
    </row>
    <row r="111" spans="1:47" hidden="1" x14ac:dyDescent="0.2">
      <c r="A111" t="s">
        <v>455</v>
      </c>
      <c r="B111" t="s">
        <v>452</v>
      </c>
      <c r="C111" s="43">
        <v>1</v>
      </c>
      <c r="H111">
        <v>209003847</v>
      </c>
      <c r="I111" t="s">
        <v>449</v>
      </c>
      <c r="J111" t="s">
        <v>460</v>
      </c>
      <c r="K111" s="43" t="s">
        <v>281</v>
      </c>
      <c r="L111" s="66">
        <f t="shared" si="80"/>
        <v>0</v>
      </c>
      <c r="M111" s="77">
        <f>SUM(Altas!E108:AI108)</f>
        <v>0</v>
      </c>
      <c r="N111" s="77">
        <f>VLOOKUP(H111,Cuota!$D:$DU,119,0)</f>
        <v>1.3597806269272565</v>
      </c>
      <c r="O111" s="77">
        <f t="shared" si="81"/>
        <v>-1.3597806269272565</v>
      </c>
      <c r="P111" s="66">
        <f t="shared" si="82"/>
        <v>0</v>
      </c>
      <c r="Q111" s="77">
        <f>+SUM(Altas!E155:AI155)</f>
        <v>0</v>
      </c>
      <c r="R111" s="77">
        <f>VLOOKUP(H111,Tabla2[[#All],[IDPV]:[PP VOZ]],120,0)</f>
        <v>0.27537391691026591</v>
      </c>
      <c r="S111" s="77">
        <f t="shared" si="83"/>
        <v>-0.27537391691026591</v>
      </c>
      <c r="T111" s="66">
        <f t="shared" si="84"/>
        <v>0</v>
      </c>
      <c r="U111" s="78">
        <f>+SUM(Altas!E202:AI202)</f>
        <v>0</v>
      </c>
      <c r="V111" s="77">
        <f>VLOOKUP(H111,Tabla2[[#All],[IDPV]:[PP VOZ]],121,0)</f>
        <v>0.12059800083105997</v>
      </c>
      <c r="W111" s="77">
        <f t="shared" si="85"/>
        <v>-0.12059800083105997</v>
      </c>
      <c r="X111" s="66">
        <f t="shared" si="86"/>
        <v>0</v>
      </c>
      <c r="Y111" s="77">
        <f t="shared" si="87"/>
        <v>0</v>
      </c>
      <c r="Z111" s="77">
        <f>VLOOKUP(H111,Tabla2[[#All],[IDPV]:[PP VOZ]],122,0)</f>
        <v>0.96380870918593065</v>
      </c>
      <c r="AA111" s="77">
        <f t="shared" si="88"/>
        <v>-0.96380870918593065</v>
      </c>
      <c r="AB111" s="28">
        <f t="shared" si="89"/>
        <v>0</v>
      </c>
      <c r="AC111" s="28">
        <f t="shared" si="90"/>
        <v>1.3597806269272565</v>
      </c>
      <c r="AD111" s="28">
        <f t="shared" si="91"/>
        <v>-1.3597806269272565</v>
      </c>
      <c r="AE111" s="28">
        <f t="shared" si="92"/>
        <v>0</v>
      </c>
      <c r="AF111" s="28">
        <f t="shared" si="93"/>
        <v>0.27537391691026591</v>
      </c>
      <c r="AG111" s="28">
        <f t="shared" si="94"/>
        <v>-0.27537391691026591</v>
      </c>
      <c r="AH111" s="28">
        <f t="shared" si="95"/>
        <v>0</v>
      </c>
      <c r="AI111" s="28">
        <f t="shared" si="96"/>
        <v>0.12059800083105997</v>
      </c>
      <c r="AJ111" s="28">
        <f t="shared" si="97"/>
        <v>-0.12059800083105997</v>
      </c>
      <c r="AN111" s="64">
        <f>+COUNTIFS(FieldWy!A:A,H111,FieldWy!F:F,"&lt;&gt;")</f>
        <v>0</v>
      </c>
      <c r="AO111" s="86">
        <f t="shared" si="98"/>
        <v>0</v>
      </c>
      <c r="AP111" s="64">
        <f>+COUNTIFS(FieldWy!A:A,H111,FieldWy!F:F,"&lt;&gt;",FieldWy!AA:AA,"true")</f>
        <v>0</v>
      </c>
      <c r="AQ111" s="86">
        <f t="shared" si="99"/>
        <v>0</v>
      </c>
      <c r="AR111" s="64">
        <f>+COUNTIFS(FieldWy!A:A,H111,FieldWy!F:F,"&lt;&gt;",FieldWy!X:X,"PORTABILIDAD")</f>
        <v>0</v>
      </c>
      <c r="AS111" s="64">
        <f t="shared" si="100"/>
        <v>0</v>
      </c>
      <c r="AT111" s="64">
        <f t="shared" si="79"/>
        <v>0</v>
      </c>
      <c r="AU111" s="86">
        <f t="shared" si="101"/>
        <v>0</v>
      </c>
    </row>
  </sheetData>
  <autoFilter ref="A5:AZ111" xr:uid="{D4E6FAB9-9758-4036-9607-FB70192357D1}">
    <filterColumn colId="0">
      <filters>
        <filter val="BARRIENTOS CONTRERAS ILEANA"/>
        <filter val="HERNANDEZ HERNANDEZ KARINA"/>
        <filter val="REYES ZARRABAL CRISTOPHER"/>
      </filters>
    </filterColumn>
  </autoFilter>
  <mergeCells count="10">
    <mergeCell ref="AV3:AZ3"/>
    <mergeCell ref="AH3:AJ3"/>
    <mergeCell ref="AK3:AM3"/>
    <mergeCell ref="AN3:AU3"/>
    <mergeCell ref="AE3:AG3"/>
    <mergeCell ref="P3:S3"/>
    <mergeCell ref="AB3:AD3"/>
    <mergeCell ref="L3:O3"/>
    <mergeCell ref="T3:W3"/>
    <mergeCell ref="X3:AA3"/>
  </mergeCells>
  <phoneticPr fontId="4" type="noConversion"/>
  <conditionalFormatting sqref="G6:G48">
    <cfRule type="containsText" dxfId="5" priority="7" operator="containsText" text="Vacante">
      <formula>NOT(ISERROR(SEARCH("Vacante",G6)))</formula>
    </cfRule>
  </conditionalFormatting>
  <conditionalFormatting sqref="L6:L11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">
      <colorScale>
        <cfvo type="min"/>
        <cfvo type="max"/>
        <color rgb="FFFCFCFF"/>
        <color rgb="FF63BE7B"/>
      </colorScale>
    </cfRule>
  </conditionalFormatting>
  <conditionalFormatting sqref="M6:M111">
    <cfRule type="cellIs" dxfId="4" priority="1" operator="lessThan">
      <formula>1</formula>
    </cfRule>
  </conditionalFormatting>
  <conditionalFormatting sqref="O6:O11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{D1DE732C-DC70-4EBC-8776-793146442C41}</x14:id>
        </ext>
      </extLst>
    </cfRule>
  </conditionalFormatting>
  <conditionalFormatting sqref="P6:P11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Q6:Q111">
    <cfRule type="cellIs" dxfId="3" priority="2" operator="lessThan">
      <formula>1</formula>
    </cfRule>
    <cfRule type="cellIs" dxfId="2" priority="19" operator="lessThan">
      <formula>0.5</formula>
    </cfRule>
  </conditionalFormatting>
  <conditionalFormatting sqref="S6:S11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{9DF3F6E3-FF1D-45D1-97E0-BEADB3A45989}</x14:id>
        </ext>
      </extLst>
    </cfRule>
  </conditionalFormatting>
  <conditionalFormatting sqref="T6:T11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max"/>
        <color rgb="FFFCFCFF"/>
        <color rgb="FF63BE7B"/>
      </colorScale>
    </cfRule>
  </conditionalFormatting>
  <conditionalFormatting sqref="U6:U111">
    <cfRule type="cellIs" dxfId="1" priority="3" operator="lessThan">
      <formula>1</formula>
    </cfRule>
  </conditionalFormatting>
  <conditionalFormatting sqref="W6:W11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{998C659B-462E-47C1-A26F-BCCA8CE3D245}</x14:id>
        </ext>
      </extLst>
    </cfRule>
  </conditionalFormatting>
  <conditionalFormatting sqref="X6:X11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max"/>
        <color rgb="FFFCFCFF"/>
        <color rgb="FF63BE7B"/>
      </colorScale>
    </cfRule>
  </conditionalFormatting>
  <conditionalFormatting sqref="Y6:Y111">
    <cfRule type="cellIs" dxfId="0" priority="4" operator="lessThan">
      <formula>1</formula>
    </cfRule>
  </conditionalFormatting>
  <conditionalFormatting sqref="AA6:AA11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{648AA44B-A6C1-4102-BB4E-7220F445806B}</x14:id>
        </ext>
      </extLst>
    </cfRule>
  </conditionalFormatting>
  <conditionalFormatting sqref="AD6:AD11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:AG111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6:AJ111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6:AM48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DE732C-DC70-4EBC-8776-793146442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O6:O111</xm:sqref>
        </x14:conditionalFormatting>
        <x14:conditionalFormatting xmlns:xm="http://schemas.microsoft.com/office/excel/2006/main">
          <x14:cfRule type="dataBar" id="{9DF3F6E3-FF1D-45D1-97E0-BEADB3A45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S6:S111</xm:sqref>
        </x14:conditionalFormatting>
        <x14:conditionalFormatting xmlns:xm="http://schemas.microsoft.com/office/excel/2006/main">
          <x14:cfRule type="dataBar" id="{998C659B-462E-47C1-A26F-BCCA8CE3D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W6:W111</xm:sqref>
        </x14:conditionalFormatting>
        <x14:conditionalFormatting xmlns:xm="http://schemas.microsoft.com/office/excel/2006/main">
          <x14:cfRule type="dataBar" id="{648AA44B-A6C1-4102-BB4E-7220F4458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AA6:AA111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5B7-3DC0-41BA-A021-F6C5FD40E451}">
  <dimension ref="A1:P23"/>
  <sheetViews>
    <sheetView showGridLines="0" zoomScale="70" zoomScaleNormal="70" workbookViewId="0">
      <selection activeCell="O5" sqref="O5"/>
    </sheetView>
  </sheetViews>
  <sheetFormatPr defaultColWidth="10.76171875" defaultRowHeight="15" x14ac:dyDescent="0.2"/>
  <cols>
    <col min="2" max="2" width="12.23828125" bestFit="1" customWidth="1"/>
    <col min="3" max="3" width="9.14453125" customWidth="1"/>
    <col min="4" max="4" width="9.14453125" bestFit="1" customWidth="1"/>
    <col min="5" max="5" width="8.203125" customWidth="1"/>
    <col min="6" max="6" width="6.3203125" bestFit="1" customWidth="1"/>
    <col min="7" max="7" width="24.6171875" customWidth="1"/>
    <col min="8" max="8" width="10.89453125" customWidth="1"/>
    <col min="9" max="9" width="7.6640625" bestFit="1" customWidth="1"/>
    <col min="10" max="10" width="23.40625" customWidth="1"/>
    <col min="11" max="11" width="13.5859375" customWidth="1"/>
    <col min="12" max="12" width="10.22265625" customWidth="1"/>
    <col min="13" max="13" width="13.85546875" customWidth="1"/>
    <col min="14" max="14" width="21.25390625" customWidth="1"/>
    <col min="15" max="15" width="12.5078125" bestFit="1" customWidth="1"/>
    <col min="16" max="16" width="8.47265625" bestFit="1" customWidth="1"/>
    <col min="17" max="17" width="7.6640625" customWidth="1"/>
  </cols>
  <sheetData>
    <row r="1" spans="1:16" ht="21" x14ac:dyDescent="0.3">
      <c r="B1" s="112" t="s">
        <v>525</v>
      </c>
      <c r="H1">
        <v>30</v>
      </c>
      <c r="I1" s="64">
        <v>1</v>
      </c>
    </row>
    <row r="2" spans="1:16" ht="27.75" x14ac:dyDescent="0.2">
      <c r="B2" s="114" t="s">
        <v>508</v>
      </c>
      <c r="C2" s="114" t="s">
        <v>517</v>
      </c>
      <c r="D2" s="115" t="s">
        <v>518</v>
      </c>
      <c r="E2" s="114" t="s">
        <v>519</v>
      </c>
      <c r="F2" s="114" t="s">
        <v>520</v>
      </c>
      <c r="G2" s="114" t="s">
        <v>521</v>
      </c>
      <c r="H2" s="114" t="s">
        <v>522</v>
      </c>
      <c r="I2" s="114" t="s">
        <v>523</v>
      </c>
      <c r="J2" s="114" t="s">
        <v>524</v>
      </c>
      <c r="K2" s="114" t="s">
        <v>381</v>
      </c>
      <c r="L2" s="115" t="s">
        <v>272</v>
      </c>
      <c r="M2" s="115" t="s">
        <v>554</v>
      </c>
    </row>
    <row r="3" spans="1:16" x14ac:dyDescent="0.2">
      <c r="B3" s="113" t="s">
        <v>529</v>
      </c>
      <c r="C3" s="116">
        <f>SUM(C11+C15)</f>
        <v>485</v>
      </c>
      <c r="D3" s="116">
        <v>552</v>
      </c>
      <c r="E3" s="116">
        <v>584</v>
      </c>
      <c r="F3" s="117">
        <f>C3-D3</f>
        <v>-67</v>
      </c>
      <c r="G3" s="117">
        <f>D3/$H$1</f>
        <v>18.399999999999999</v>
      </c>
      <c r="H3" s="118">
        <f>I3/I1</f>
        <v>0</v>
      </c>
      <c r="I3" s="118"/>
      <c r="J3" s="118">
        <f>I3/$I$1*$H$1</f>
        <v>0</v>
      </c>
      <c r="K3" s="119">
        <f>J3/D3</f>
        <v>0</v>
      </c>
      <c r="L3" s="118">
        <f>J3-D3</f>
        <v>-552</v>
      </c>
      <c r="M3" s="118">
        <f>G3*6</f>
        <v>110.39999999999999</v>
      </c>
    </row>
    <row r="4" spans="1:16" x14ac:dyDescent="0.2">
      <c r="B4" s="113" t="s">
        <v>527</v>
      </c>
      <c r="C4" s="116">
        <f t="shared" ref="C4:C6" si="0">SUM(C12+C16)</f>
        <v>1506</v>
      </c>
      <c r="D4" s="116">
        <v>1740</v>
      </c>
      <c r="E4" s="116">
        <v>2475</v>
      </c>
      <c r="F4" s="117">
        <f t="shared" ref="F4:F7" si="1">C4-D4</f>
        <v>-234</v>
      </c>
      <c r="G4" s="117">
        <f t="shared" ref="G4:G7" si="2">D4/$H$1</f>
        <v>58</v>
      </c>
      <c r="H4" s="113"/>
      <c r="I4" s="113"/>
      <c r="J4" s="118">
        <f t="shared" ref="J4:J7" si="3">I4/$I$1*$H$1</f>
        <v>0</v>
      </c>
      <c r="K4" s="119">
        <f t="shared" ref="K4:K7" si="4">J4/D4</f>
        <v>0</v>
      </c>
      <c r="L4" s="118">
        <f t="shared" ref="L4:L7" si="5">J4-D4</f>
        <v>-1740</v>
      </c>
      <c r="M4" s="118">
        <f t="shared" ref="M4:M7" si="6">G4*6</f>
        <v>348</v>
      </c>
    </row>
    <row r="5" spans="1:16" x14ac:dyDescent="0.2">
      <c r="B5" s="113" t="s">
        <v>526</v>
      </c>
      <c r="C5" s="116">
        <f t="shared" si="0"/>
        <v>3873</v>
      </c>
      <c r="D5" s="116">
        <v>3670</v>
      </c>
      <c r="E5" s="116">
        <v>3670</v>
      </c>
      <c r="F5" s="117">
        <f t="shared" si="1"/>
        <v>203</v>
      </c>
      <c r="G5" s="117">
        <f t="shared" si="2"/>
        <v>122.33333333333333</v>
      </c>
      <c r="H5" s="113"/>
      <c r="I5" s="113"/>
      <c r="J5" s="118">
        <f t="shared" si="3"/>
        <v>0</v>
      </c>
      <c r="K5" s="119">
        <f t="shared" si="4"/>
        <v>0</v>
      </c>
      <c r="L5" s="118">
        <f t="shared" si="5"/>
        <v>-3670</v>
      </c>
      <c r="M5" s="118">
        <f t="shared" si="6"/>
        <v>734</v>
      </c>
    </row>
    <row r="6" spans="1:16" x14ac:dyDescent="0.2">
      <c r="B6" s="113" t="s">
        <v>530</v>
      </c>
      <c r="C6" s="116">
        <f t="shared" si="0"/>
        <v>9</v>
      </c>
      <c r="D6" s="116">
        <v>49</v>
      </c>
      <c r="E6" s="116">
        <v>49</v>
      </c>
      <c r="F6" s="117">
        <f t="shared" si="1"/>
        <v>-40</v>
      </c>
      <c r="G6" s="117">
        <f t="shared" si="2"/>
        <v>1.6333333333333333</v>
      </c>
      <c r="H6" s="113"/>
      <c r="I6" s="113"/>
      <c r="J6" s="118">
        <f t="shared" si="3"/>
        <v>0</v>
      </c>
      <c r="K6" s="119">
        <f t="shared" si="4"/>
        <v>0</v>
      </c>
      <c r="L6" s="118">
        <f t="shared" si="5"/>
        <v>-49</v>
      </c>
      <c r="M6" s="118">
        <f t="shared" si="6"/>
        <v>9.8000000000000007</v>
      </c>
    </row>
    <row r="7" spans="1:16" x14ac:dyDescent="0.2">
      <c r="B7" s="120" t="s">
        <v>528</v>
      </c>
      <c r="C7" s="121">
        <f>SUM(C3:C6)</f>
        <v>5873</v>
      </c>
      <c r="D7" s="121">
        <f>SUM(D3:D6)</f>
        <v>6011</v>
      </c>
      <c r="E7" s="121">
        <f t="shared" ref="E7" si="7">SUM(E3:E6)</f>
        <v>6778</v>
      </c>
      <c r="F7" s="121">
        <f t="shared" si="1"/>
        <v>-138</v>
      </c>
      <c r="G7" s="121">
        <f t="shared" si="2"/>
        <v>200.36666666666667</v>
      </c>
      <c r="H7" s="120"/>
      <c r="I7" s="120"/>
      <c r="J7" s="120">
        <f t="shared" si="3"/>
        <v>0</v>
      </c>
      <c r="K7" s="120">
        <f t="shared" si="4"/>
        <v>0</v>
      </c>
      <c r="L7" s="123">
        <f t="shared" si="5"/>
        <v>-6011</v>
      </c>
      <c r="M7" s="123">
        <f t="shared" si="6"/>
        <v>1202.2</v>
      </c>
    </row>
    <row r="8" spans="1:16" x14ac:dyDescent="0.2">
      <c r="D8" s="122">
        <f>D7/E7</f>
        <v>0.88683977574505757</v>
      </c>
    </row>
    <row r="9" spans="1:16" x14ac:dyDescent="0.2">
      <c r="E9" s="122"/>
    </row>
    <row r="10" spans="1:16" ht="31.5" customHeight="1" x14ac:dyDescent="0.2">
      <c r="A10" s="124" t="s">
        <v>545</v>
      </c>
      <c r="B10" s="129" t="s">
        <v>508</v>
      </c>
      <c r="C10" s="114" t="s">
        <v>517</v>
      </c>
      <c r="D10" s="130" t="s">
        <v>518</v>
      </c>
      <c r="E10" s="114" t="s">
        <v>519</v>
      </c>
      <c r="F10" s="114" t="s">
        <v>520</v>
      </c>
      <c r="G10" s="131" t="s">
        <v>533</v>
      </c>
      <c r="H10" s="131" t="s">
        <v>536</v>
      </c>
      <c r="I10" s="131" t="s">
        <v>537</v>
      </c>
      <c r="J10" s="131" t="s">
        <v>534</v>
      </c>
      <c r="K10" s="131" t="s">
        <v>536</v>
      </c>
      <c r="L10" s="131" t="s">
        <v>537</v>
      </c>
      <c r="M10" s="131" t="s">
        <v>535</v>
      </c>
      <c r="N10" s="131" t="s">
        <v>536</v>
      </c>
      <c r="O10" s="131" t="s">
        <v>537</v>
      </c>
      <c r="P10" s="131" t="s">
        <v>538</v>
      </c>
    </row>
    <row r="11" spans="1:16" ht="14.45" customHeight="1" x14ac:dyDescent="0.2">
      <c r="A11" s="155" t="s">
        <v>531</v>
      </c>
      <c r="B11" s="113" t="s">
        <v>529</v>
      </c>
      <c r="C11" s="127">
        <v>190</v>
      </c>
      <c r="D11" s="127">
        <v>257</v>
      </c>
      <c r="E11" s="127">
        <v>272</v>
      </c>
      <c r="F11" s="132">
        <f>C11-D11</f>
        <v>-67</v>
      </c>
      <c r="G11" s="133" t="s">
        <v>551</v>
      </c>
      <c r="H11" s="134" t="s">
        <v>376</v>
      </c>
      <c r="I11" s="125">
        <f>1*40</f>
        <v>40</v>
      </c>
      <c r="J11" s="135" t="s">
        <v>539</v>
      </c>
      <c r="K11" s="125" t="s">
        <v>377</v>
      </c>
      <c r="L11" s="125">
        <f>2*15</f>
        <v>30</v>
      </c>
      <c r="M11" s="134"/>
      <c r="N11" s="125"/>
      <c r="O11" s="125"/>
      <c r="P11" s="139">
        <f>+O11+L11+I11</f>
        <v>70</v>
      </c>
    </row>
    <row r="12" spans="1:16" ht="14.45" customHeight="1" x14ac:dyDescent="0.2">
      <c r="A12" s="155"/>
      <c r="B12" s="113" t="s">
        <v>527</v>
      </c>
      <c r="C12" s="127">
        <v>676</v>
      </c>
      <c r="D12" s="127">
        <f>E12*0.75</f>
        <v>710.25</v>
      </c>
      <c r="E12" s="127">
        <v>947</v>
      </c>
      <c r="F12" s="132">
        <f t="shared" ref="F12:F19" si="8">C12-D12</f>
        <v>-34.25</v>
      </c>
      <c r="G12" s="133" t="s">
        <v>540</v>
      </c>
      <c r="H12" s="134" t="s">
        <v>377</v>
      </c>
      <c r="I12" s="125">
        <f>3*6*2</f>
        <v>36</v>
      </c>
      <c r="J12" s="135"/>
      <c r="K12" s="125"/>
      <c r="L12" s="125"/>
      <c r="M12" s="134"/>
      <c r="N12" s="125"/>
      <c r="O12" s="125"/>
      <c r="P12" s="139">
        <f>+O12+L12+I12</f>
        <v>36</v>
      </c>
    </row>
    <row r="13" spans="1:16" ht="14.45" customHeight="1" x14ac:dyDescent="0.2">
      <c r="A13" s="155"/>
      <c r="B13" s="113" t="s">
        <v>526</v>
      </c>
      <c r="C13" s="127">
        <v>1131</v>
      </c>
      <c r="D13" s="127">
        <v>1198</v>
      </c>
      <c r="E13" s="127">
        <v>1198</v>
      </c>
      <c r="F13" s="132">
        <f t="shared" si="8"/>
        <v>-67</v>
      </c>
      <c r="G13" s="133" t="s">
        <v>541</v>
      </c>
      <c r="H13" s="134" t="s">
        <v>376</v>
      </c>
      <c r="I13" s="125">
        <f>10*1*4</f>
        <v>40</v>
      </c>
      <c r="J13" s="135" t="s">
        <v>542</v>
      </c>
      <c r="K13" s="125" t="s">
        <v>377</v>
      </c>
      <c r="L13" s="125">
        <f>1*4*4</f>
        <v>16</v>
      </c>
      <c r="M13" s="134" t="s">
        <v>552</v>
      </c>
      <c r="N13" s="134" t="s">
        <v>376</v>
      </c>
      <c r="O13" s="125">
        <f>10*2</f>
        <v>20</v>
      </c>
      <c r="P13" s="139">
        <f t="shared" ref="P13:P18" si="9">+O13+L13+I13</f>
        <v>76</v>
      </c>
    </row>
    <row r="14" spans="1:16" ht="14.45" customHeight="1" x14ac:dyDescent="0.2">
      <c r="A14" s="155"/>
      <c r="B14" s="113" t="s">
        <v>530</v>
      </c>
      <c r="C14" s="127">
        <v>0</v>
      </c>
      <c r="D14" s="127">
        <v>13</v>
      </c>
      <c r="E14" s="127">
        <v>13</v>
      </c>
      <c r="F14" s="132">
        <f t="shared" si="8"/>
        <v>-13</v>
      </c>
      <c r="G14" s="133" t="s">
        <v>556</v>
      </c>
      <c r="H14" s="134" t="s">
        <v>376</v>
      </c>
      <c r="I14" s="125">
        <v>8</v>
      </c>
      <c r="J14" s="134" t="s">
        <v>549</v>
      </c>
      <c r="K14" s="134" t="s">
        <v>376</v>
      </c>
      <c r="L14" s="125">
        <v>5</v>
      </c>
      <c r="M14" s="134"/>
      <c r="N14" s="125"/>
      <c r="O14" s="125"/>
      <c r="P14" s="139">
        <f t="shared" si="9"/>
        <v>13</v>
      </c>
    </row>
    <row r="15" spans="1:16" ht="14.45" customHeight="1" x14ac:dyDescent="0.2">
      <c r="A15" s="156" t="s">
        <v>532</v>
      </c>
      <c r="B15" s="113" t="s">
        <v>529</v>
      </c>
      <c r="C15" s="127">
        <v>295</v>
      </c>
      <c r="D15" s="127">
        <v>295</v>
      </c>
      <c r="E15" s="127">
        <v>312</v>
      </c>
      <c r="F15" s="132">
        <f t="shared" si="8"/>
        <v>0</v>
      </c>
      <c r="G15" s="136"/>
      <c r="H15" s="134"/>
      <c r="I15" s="125"/>
      <c r="J15" s="134"/>
      <c r="K15" s="125"/>
      <c r="L15" s="125"/>
      <c r="M15" s="137"/>
      <c r="N15" s="137"/>
      <c r="O15" s="137"/>
      <c r="P15" s="139">
        <f t="shared" si="9"/>
        <v>0</v>
      </c>
    </row>
    <row r="16" spans="1:16" ht="14.45" customHeight="1" x14ac:dyDescent="0.2">
      <c r="A16" s="156"/>
      <c r="B16" s="113" t="s">
        <v>527</v>
      </c>
      <c r="C16" s="127">
        <v>830</v>
      </c>
      <c r="D16" s="127">
        <f>E16*0.674</f>
        <v>1029.8720000000001</v>
      </c>
      <c r="E16" s="127">
        <v>1528</v>
      </c>
      <c r="F16" s="132">
        <f t="shared" si="8"/>
        <v>-199.87200000000007</v>
      </c>
      <c r="G16" s="136" t="s">
        <v>546</v>
      </c>
      <c r="H16" s="134" t="s">
        <v>377</v>
      </c>
      <c r="I16" s="125">
        <f>1*3*10*4</f>
        <v>120</v>
      </c>
      <c r="J16" s="134" t="s">
        <v>547</v>
      </c>
      <c r="K16" s="134" t="s">
        <v>376</v>
      </c>
      <c r="L16" s="125">
        <f>3*2*2</f>
        <v>12</v>
      </c>
      <c r="M16" s="140" t="s">
        <v>550</v>
      </c>
      <c r="N16" s="134" t="s">
        <v>376</v>
      </c>
      <c r="O16" s="137">
        <f>10*2*4</f>
        <v>80</v>
      </c>
      <c r="P16" s="139">
        <f t="shared" si="9"/>
        <v>212</v>
      </c>
    </row>
    <row r="17" spans="1:16" ht="14.45" customHeight="1" x14ac:dyDescent="0.2">
      <c r="A17" s="156"/>
      <c r="B17" s="113" t="s">
        <v>526</v>
      </c>
      <c r="C17" s="127">
        <v>2742</v>
      </c>
      <c r="D17" s="127">
        <v>2472</v>
      </c>
      <c r="E17" s="127">
        <v>2472</v>
      </c>
      <c r="F17" s="132"/>
      <c r="G17" s="136" t="s">
        <v>553</v>
      </c>
      <c r="H17" s="134" t="s">
        <v>377</v>
      </c>
      <c r="I17" s="125"/>
      <c r="J17" s="134"/>
      <c r="K17" s="125"/>
      <c r="L17" s="125"/>
      <c r="M17" s="137"/>
      <c r="N17" s="137"/>
      <c r="O17" s="137"/>
      <c r="P17" s="139">
        <f t="shared" si="9"/>
        <v>0</v>
      </c>
    </row>
    <row r="18" spans="1:16" ht="14.45" customHeight="1" x14ac:dyDescent="0.2">
      <c r="A18" s="156"/>
      <c r="B18" s="113" t="s">
        <v>530</v>
      </c>
      <c r="C18" s="127">
        <v>9</v>
      </c>
      <c r="D18" s="126">
        <v>36</v>
      </c>
      <c r="E18" s="126">
        <v>36</v>
      </c>
      <c r="F18" s="132">
        <f t="shared" si="8"/>
        <v>-27</v>
      </c>
      <c r="G18" s="133" t="s">
        <v>548</v>
      </c>
      <c r="H18" s="134" t="s">
        <v>376</v>
      </c>
      <c r="I18" s="138">
        <f>63*0.3</f>
        <v>18.899999999999999</v>
      </c>
      <c r="J18" s="134" t="s">
        <v>555</v>
      </c>
      <c r="K18" s="134" t="s">
        <v>376</v>
      </c>
      <c r="L18" s="125">
        <v>10</v>
      </c>
      <c r="M18" s="137"/>
      <c r="N18" s="137"/>
      <c r="O18" s="137"/>
      <c r="P18" s="139">
        <f t="shared" si="9"/>
        <v>28.9</v>
      </c>
    </row>
    <row r="19" spans="1:16" ht="14.45" customHeight="1" x14ac:dyDescent="0.2">
      <c r="B19" s="128" t="s">
        <v>528</v>
      </c>
      <c r="C19" s="127">
        <f>SUM(C11:C18)</f>
        <v>5873</v>
      </c>
      <c r="D19" s="127">
        <f t="shared" ref="D19:E19" si="10">SUM(D11:D18)</f>
        <v>6011.1220000000003</v>
      </c>
      <c r="E19" s="127">
        <f t="shared" si="10"/>
        <v>6778</v>
      </c>
      <c r="F19" s="132">
        <f>SUM(F11:F18)</f>
        <v>-408.12200000000007</v>
      </c>
      <c r="G19" s="157"/>
      <c r="H19" s="157"/>
      <c r="I19" s="157"/>
      <c r="J19" s="157"/>
      <c r="K19" s="157"/>
      <c r="L19" s="157"/>
      <c r="M19" s="157"/>
      <c r="N19" s="157"/>
      <c r="O19" s="157"/>
      <c r="P19" s="139">
        <f>SUM(P11:P18)</f>
        <v>435.9</v>
      </c>
    </row>
    <row r="23" spans="1:16" x14ac:dyDescent="0.2">
      <c r="I23" s="16"/>
    </row>
  </sheetData>
  <mergeCells count="3">
    <mergeCell ref="A11:A14"/>
    <mergeCell ref="A15:A18"/>
    <mergeCell ref="G19:O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CB1F-34C9-4B50-9CC6-0F8697E48142}">
  <dimension ref="A2:R8"/>
  <sheetViews>
    <sheetView zoomScale="80" zoomScaleNormal="80" workbookViewId="0">
      <selection activeCell="A4" sqref="A4"/>
    </sheetView>
  </sheetViews>
  <sheetFormatPr defaultColWidth="10.76171875" defaultRowHeight="15" x14ac:dyDescent="0.2"/>
  <cols>
    <col min="1" max="1" width="17.62109375" bestFit="1" customWidth="1"/>
    <col min="2" max="2" width="13.98828125" bestFit="1" customWidth="1"/>
    <col min="3" max="3" width="6.58984375" bestFit="1" customWidth="1"/>
    <col min="4" max="4" width="21.1171875" bestFit="1" customWidth="1"/>
    <col min="5" max="5" width="13.98828125" bestFit="1" customWidth="1"/>
    <col min="6" max="6" width="6.58984375" bestFit="1" customWidth="1"/>
    <col min="7" max="7" width="19.234375" bestFit="1" customWidth="1"/>
    <col min="8" max="8" width="13.98828125" bestFit="1" customWidth="1"/>
    <col min="9" max="9" width="6.58984375" bestFit="1" customWidth="1"/>
    <col min="10" max="10" width="20.84765625" bestFit="1" customWidth="1"/>
    <col min="11" max="11" width="13.98828125" bestFit="1" customWidth="1"/>
    <col min="12" max="12" width="6.58984375" bestFit="1" customWidth="1"/>
    <col min="13" max="13" width="17.3515625" bestFit="1" customWidth="1"/>
    <col min="14" max="14" width="13.98828125" bestFit="1" customWidth="1"/>
    <col min="15" max="15" width="6.58984375" bestFit="1" customWidth="1"/>
    <col min="16" max="16" width="25.15234375" bestFit="1" customWidth="1"/>
    <col min="17" max="17" width="13.98828125" bestFit="1" customWidth="1"/>
    <col min="18" max="18" width="6.58984375" bestFit="1" customWidth="1"/>
  </cols>
  <sheetData>
    <row r="2" spans="1:18" x14ac:dyDescent="0.2">
      <c r="A2" t="s">
        <v>131</v>
      </c>
      <c r="B2" t="s">
        <v>262</v>
      </c>
      <c r="C2" t="s">
        <v>263</v>
      </c>
      <c r="D2" t="s">
        <v>132</v>
      </c>
      <c r="E2" t="s">
        <v>262</v>
      </c>
      <c r="F2" t="s">
        <v>263</v>
      </c>
      <c r="G2" t="s">
        <v>133</v>
      </c>
      <c r="H2" t="s">
        <v>262</v>
      </c>
      <c r="I2" t="s">
        <v>263</v>
      </c>
      <c r="J2" t="s">
        <v>134</v>
      </c>
      <c r="K2" t="s">
        <v>262</v>
      </c>
      <c r="L2" t="s">
        <v>263</v>
      </c>
      <c r="M2" t="s">
        <v>135</v>
      </c>
      <c r="N2" t="s">
        <v>262</v>
      </c>
      <c r="O2" t="s">
        <v>263</v>
      </c>
      <c r="P2" t="s">
        <v>136</v>
      </c>
      <c r="Q2" t="s">
        <v>262</v>
      </c>
      <c r="R2" t="s">
        <v>263</v>
      </c>
    </row>
    <row r="3" spans="1:18" x14ac:dyDescent="0.2">
      <c r="A3" t="s">
        <v>243</v>
      </c>
      <c r="B3" s="20"/>
      <c r="D3" t="s">
        <v>242</v>
      </c>
      <c r="E3" s="20"/>
      <c r="G3" t="s">
        <v>246</v>
      </c>
      <c r="H3" s="20"/>
      <c r="J3" t="s">
        <v>250</v>
      </c>
      <c r="K3" s="19"/>
      <c r="M3" t="s">
        <v>254</v>
      </c>
      <c r="N3" s="19"/>
      <c r="P3" t="s">
        <v>243</v>
      </c>
      <c r="Q3" s="20"/>
    </row>
    <row r="4" spans="1:18" x14ac:dyDescent="0.2">
      <c r="A4" t="s">
        <v>244</v>
      </c>
      <c r="B4" s="20"/>
      <c r="D4" t="s">
        <v>238</v>
      </c>
      <c r="E4" s="19"/>
      <c r="G4" t="s">
        <v>247</v>
      </c>
      <c r="H4" s="19"/>
      <c r="J4" t="s">
        <v>251</v>
      </c>
      <c r="K4" s="19"/>
      <c r="M4" t="s">
        <v>255</v>
      </c>
      <c r="N4" s="19"/>
      <c r="P4" t="s">
        <v>244</v>
      </c>
      <c r="Q4" s="20"/>
    </row>
    <row r="5" spans="1:18" x14ac:dyDescent="0.2">
      <c r="A5" t="s">
        <v>245</v>
      </c>
      <c r="B5" s="19"/>
      <c r="D5" t="s">
        <v>239</v>
      </c>
      <c r="E5" s="19"/>
      <c r="G5" t="s">
        <v>248</v>
      </c>
      <c r="H5" s="20"/>
      <c r="J5" t="s">
        <v>252</v>
      </c>
      <c r="K5" s="19"/>
      <c r="M5" t="s">
        <v>256</v>
      </c>
      <c r="N5" s="19"/>
      <c r="P5" t="s">
        <v>245</v>
      </c>
      <c r="Q5" s="19"/>
    </row>
    <row r="6" spans="1:18" x14ac:dyDescent="0.2">
      <c r="D6" t="s">
        <v>240</v>
      </c>
      <c r="E6" s="19"/>
      <c r="G6" t="s">
        <v>249</v>
      </c>
      <c r="H6" s="19"/>
      <c r="J6" t="s">
        <v>253</v>
      </c>
      <c r="K6" s="19"/>
      <c r="M6" t="s">
        <v>257</v>
      </c>
      <c r="N6" s="19"/>
      <c r="P6" t="s">
        <v>260</v>
      </c>
      <c r="Q6" s="19"/>
    </row>
    <row r="7" spans="1:18" x14ac:dyDescent="0.2">
      <c r="D7" t="s">
        <v>241</v>
      </c>
      <c r="E7" s="19"/>
      <c r="M7" t="s">
        <v>258</v>
      </c>
      <c r="N7" s="19"/>
      <c r="P7" t="s">
        <v>241</v>
      </c>
      <c r="Q7" s="20"/>
    </row>
    <row r="8" spans="1:18" x14ac:dyDescent="0.2">
      <c r="M8" t="s">
        <v>259</v>
      </c>
      <c r="N8" s="19"/>
      <c r="P8" t="s">
        <v>261</v>
      </c>
      <c r="Q8" s="19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0E43-6597-48A1-8851-4C227641776E}">
  <dimension ref="C2:H42"/>
  <sheetViews>
    <sheetView workbookViewId="0">
      <selection activeCell="G3" sqref="G3"/>
    </sheetView>
  </sheetViews>
  <sheetFormatPr defaultColWidth="10.76171875" defaultRowHeight="15" x14ac:dyDescent="0.2"/>
  <sheetData>
    <row r="2" spans="3:8" x14ac:dyDescent="0.2">
      <c r="C2" t="s">
        <v>97</v>
      </c>
      <c r="G2" t="s">
        <v>98</v>
      </c>
    </row>
    <row r="4" spans="3:8" x14ac:dyDescent="0.2">
      <c r="C4">
        <v>2010341</v>
      </c>
      <c r="D4" t="s">
        <v>8</v>
      </c>
      <c r="G4">
        <v>2051389</v>
      </c>
      <c r="H4" t="s">
        <v>59</v>
      </c>
    </row>
    <row r="5" spans="3:8" x14ac:dyDescent="0.2">
      <c r="C5">
        <v>2020409</v>
      </c>
      <c r="D5" t="s">
        <v>9</v>
      </c>
      <c r="G5">
        <v>2060776</v>
      </c>
      <c r="H5" t="s">
        <v>67</v>
      </c>
    </row>
    <row r="6" spans="3:8" x14ac:dyDescent="0.2">
      <c r="C6">
        <v>2020639</v>
      </c>
      <c r="D6" t="s">
        <v>61</v>
      </c>
      <c r="G6">
        <v>2061077</v>
      </c>
      <c r="H6" t="s">
        <v>50</v>
      </c>
    </row>
    <row r="7" spans="3:8" x14ac:dyDescent="0.2">
      <c r="C7">
        <v>2020644</v>
      </c>
      <c r="D7" t="s">
        <v>62</v>
      </c>
      <c r="G7">
        <v>2061089</v>
      </c>
      <c r="H7" t="s">
        <v>49</v>
      </c>
    </row>
    <row r="8" spans="3:8" x14ac:dyDescent="0.2">
      <c r="C8">
        <v>2020645</v>
      </c>
      <c r="D8" t="s">
        <v>63</v>
      </c>
      <c r="G8">
        <v>2061313</v>
      </c>
      <c r="H8" t="s">
        <v>58</v>
      </c>
    </row>
    <row r="9" spans="3:8" x14ac:dyDescent="0.2">
      <c r="C9">
        <v>2020650</v>
      </c>
      <c r="D9" t="s">
        <v>56</v>
      </c>
      <c r="G9">
        <v>2061409</v>
      </c>
      <c r="H9" t="s">
        <v>69</v>
      </c>
    </row>
    <row r="10" spans="3:8" x14ac:dyDescent="0.2">
      <c r="C10">
        <v>2020661</v>
      </c>
      <c r="D10" t="s">
        <v>64</v>
      </c>
      <c r="G10">
        <v>2061439</v>
      </c>
      <c r="H10" t="s">
        <v>51</v>
      </c>
    </row>
    <row r="11" spans="3:8" x14ac:dyDescent="0.2">
      <c r="C11">
        <v>2030673</v>
      </c>
      <c r="D11" t="s">
        <v>10</v>
      </c>
      <c r="G11">
        <v>2061768</v>
      </c>
      <c r="H11" t="s">
        <v>74</v>
      </c>
    </row>
    <row r="12" spans="3:8" x14ac:dyDescent="0.2">
      <c r="C12">
        <v>2030680</v>
      </c>
      <c r="D12" t="s">
        <v>11</v>
      </c>
      <c r="G12">
        <v>2061926</v>
      </c>
      <c r="H12" t="s">
        <v>76</v>
      </c>
    </row>
    <row r="13" spans="3:8" x14ac:dyDescent="0.2">
      <c r="C13">
        <v>2041168</v>
      </c>
      <c r="D13" t="s">
        <v>12</v>
      </c>
      <c r="G13">
        <v>2061928</v>
      </c>
      <c r="H13" t="s">
        <v>52</v>
      </c>
    </row>
    <row r="14" spans="3:8" x14ac:dyDescent="0.2">
      <c r="C14">
        <v>2050109</v>
      </c>
      <c r="D14" t="s">
        <v>65</v>
      </c>
      <c r="G14">
        <v>2061929</v>
      </c>
      <c r="H14" t="s">
        <v>78</v>
      </c>
    </row>
    <row r="15" spans="3:8" x14ac:dyDescent="0.2">
      <c r="C15">
        <v>2060772</v>
      </c>
      <c r="D15" t="s">
        <v>66</v>
      </c>
      <c r="G15">
        <v>2062045</v>
      </c>
      <c r="H15" t="s">
        <v>14</v>
      </c>
    </row>
    <row r="16" spans="3:8" x14ac:dyDescent="0.2">
      <c r="C16">
        <v>2060778</v>
      </c>
      <c r="D16" t="s">
        <v>48</v>
      </c>
      <c r="G16">
        <v>2070244</v>
      </c>
      <c r="H16" t="s">
        <v>79</v>
      </c>
    </row>
    <row r="17" spans="3:8" x14ac:dyDescent="0.2">
      <c r="C17">
        <v>2061312</v>
      </c>
      <c r="D17" t="s">
        <v>68</v>
      </c>
      <c r="G17">
        <v>2070456</v>
      </c>
      <c r="H17" t="s">
        <v>80</v>
      </c>
    </row>
    <row r="18" spans="3:8" x14ac:dyDescent="0.2">
      <c r="C18">
        <v>2061417</v>
      </c>
      <c r="D18" t="s">
        <v>70</v>
      </c>
      <c r="G18">
        <v>2070957</v>
      </c>
      <c r="H18" t="s">
        <v>84</v>
      </c>
    </row>
    <row r="19" spans="3:8" x14ac:dyDescent="0.2">
      <c r="C19">
        <v>2061451</v>
      </c>
      <c r="D19" t="s">
        <v>13</v>
      </c>
      <c r="G19">
        <v>2070960</v>
      </c>
      <c r="H19" t="s">
        <v>85</v>
      </c>
    </row>
    <row r="20" spans="3:8" x14ac:dyDescent="0.2">
      <c r="C20">
        <v>2061454</v>
      </c>
      <c r="D20" t="s">
        <v>71</v>
      </c>
      <c r="G20">
        <v>2070963</v>
      </c>
      <c r="H20" t="s">
        <v>86</v>
      </c>
    </row>
    <row r="21" spans="3:8" x14ac:dyDescent="0.2">
      <c r="C21">
        <v>2061468</v>
      </c>
      <c r="D21" t="s">
        <v>72</v>
      </c>
      <c r="G21">
        <v>2070975</v>
      </c>
      <c r="H21" t="s">
        <v>87</v>
      </c>
    </row>
    <row r="22" spans="3:8" x14ac:dyDescent="0.2">
      <c r="C22">
        <v>2061469</v>
      </c>
      <c r="D22" t="s">
        <v>73</v>
      </c>
      <c r="G22">
        <v>2071002</v>
      </c>
      <c r="H22" t="s">
        <v>92</v>
      </c>
    </row>
    <row r="23" spans="3:8" x14ac:dyDescent="0.2">
      <c r="C23">
        <v>2061921</v>
      </c>
      <c r="D23" t="s">
        <v>75</v>
      </c>
      <c r="G23">
        <v>2071590</v>
      </c>
      <c r="H23" t="s">
        <v>16</v>
      </c>
    </row>
    <row r="24" spans="3:8" x14ac:dyDescent="0.2">
      <c r="C24">
        <v>2061927</v>
      </c>
      <c r="D24" t="s">
        <v>77</v>
      </c>
      <c r="G24">
        <v>2071669</v>
      </c>
      <c r="H24" t="s">
        <v>60</v>
      </c>
    </row>
    <row r="25" spans="3:8" x14ac:dyDescent="0.2">
      <c r="C25">
        <v>2070084</v>
      </c>
      <c r="D25" t="s">
        <v>53</v>
      </c>
    </row>
    <row r="26" spans="3:8" x14ac:dyDescent="0.2">
      <c r="C26">
        <v>2070471</v>
      </c>
      <c r="D26" t="s">
        <v>81</v>
      </c>
    </row>
    <row r="27" spans="3:8" x14ac:dyDescent="0.2">
      <c r="C27">
        <v>2070475</v>
      </c>
      <c r="D27" t="s">
        <v>82</v>
      </c>
    </row>
    <row r="28" spans="3:8" x14ac:dyDescent="0.2">
      <c r="C28">
        <v>2070943</v>
      </c>
      <c r="D28" t="s">
        <v>83</v>
      </c>
    </row>
    <row r="29" spans="3:8" x14ac:dyDescent="0.2">
      <c r="C29">
        <v>2070945</v>
      </c>
      <c r="D29" t="s">
        <v>54</v>
      </c>
    </row>
    <row r="30" spans="3:8" x14ac:dyDescent="0.2">
      <c r="C30">
        <v>2070971</v>
      </c>
      <c r="D30" t="s">
        <v>57</v>
      </c>
    </row>
    <row r="31" spans="3:8" x14ac:dyDescent="0.2">
      <c r="C31">
        <v>2070982</v>
      </c>
      <c r="D31" t="s">
        <v>88</v>
      </c>
    </row>
    <row r="32" spans="3:8" x14ac:dyDescent="0.2">
      <c r="C32">
        <v>2070993</v>
      </c>
      <c r="D32" t="s">
        <v>89</v>
      </c>
    </row>
    <row r="33" spans="3:4" x14ac:dyDescent="0.2">
      <c r="C33">
        <v>2070994</v>
      </c>
      <c r="D33" t="s">
        <v>55</v>
      </c>
    </row>
    <row r="34" spans="3:4" x14ac:dyDescent="0.2">
      <c r="C34">
        <v>2070995</v>
      </c>
      <c r="D34" t="s">
        <v>90</v>
      </c>
    </row>
    <row r="35" spans="3:4" x14ac:dyDescent="0.2">
      <c r="C35">
        <v>2070999</v>
      </c>
      <c r="D35" t="s">
        <v>91</v>
      </c>
    </row>
    <row r="36" spans="3:4" x14ac:dyDescent="0.2">
      <c r="C36">
        <v>2071107</v>
      </c>
      <c r="D36" t="s">
        <v>15</v>
      </c>
    </row>
    <row r="37" spans="3:4" x14ac:dyDescent="0.2">
      <c r="C37">
        <v>2080161</v>
      </c>
      <c r="D37" t="s">
        <v>93</v>
      </c>
    </row>
    <row r="38" spans="3:4" x14ac:dyDescent="0.2">
      <c r="C38">
        <v>2080584</v>
      </c>
      <c r="D38" t="s">
        <v>94</v>
      </c>
    </row>
    <row r="39" spans="3:4" x14ac:dyDescent="0.2">
      <c r="C39">
        <v>2081352</v>
      </c>
      <c r="D39" t="s">
        <v>95</v>
      </c>
    </row>
    <row r="40" spans="3:4" x14ac:dyDescent="0.2">
      <c r="C40">
        <v>2092361</v>
      </c>
      <c r="D40" t="s">
        <v>39</v>
      </c>
    </row>
    <row r="41" spans="3:4" x14ac:dyDescent="0.2">
      <c r="C41">
        <v>2092366</v>
      </c>
      <c r="D41" t="s">
        <v>42</v>
      </c>
    </row>
    <row r="42" spans="3:4" x14ac:dyDescent="0.2">
      <c r="C42">
        <v>2093112</v>
      </c>
      <c r="D42" t="s">
        <v>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9045C54740564FB7A0DE9B2F0C460F" ma:contentTypeVersion="6" ma:contentTypeDescription="Create a new document." ma:contentTypeScope="" ma:versionID="9087df6c23efb864677f5f795579d2bd">
  <xsd:schema xmlns:xsd="http://www.w3.org/2001/XMLSchema" xmlns:xs="http://www.w3.org/2001/XMLSchema" xmlns:p="http://schemas.microsoft.com/office/2006/metadata/properties" xmlns:ns2="a56a35f3-3ada-4c78-bce6-5fdd0da3e714" xmlns:ns3="e87396c2-f74b-498a-979e-389036bf80cb" targetNamespace="http://schemas.microsoft.com/office/2006/metadata/properties" ma:root="true" ma:fieldsID="ccc16aef62092785037f2be5aace75ec" ns2:_="" ns3:_="">
    <xsd:import namespace="a56a35f3-3ada-4c78-bce6-5fdd0da3e714"/>
    <xsd:import namespace="e87396c2-f74b-498a-979e-389036bf80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a35f3-3ada-4c78-bce6-5fdd0da3e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396c2-f74b-498a-979e-389036bf80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B6986E-EFFE-4C20-B5C8-E164B9FD566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56a35f3-3ada-4c78-bce6-5fdd0da3e714"/>
    <ds:schemaRef ds:uri="e87396c2-f74b-498a-979e-389036bf80cb"/>
  </ds:schemaRefs>
</ds:datastoreItem>
</file>

<file path=customXml/itemProps2.xml><?xml version="1.0" encoding="utf-8"?>
<ds:datastoreItem xmlns:ds="http://schemas.openxmlformats.org/officeDocument/2006/customXml" ds:itemID="{ECC7D54C-2D48-430C-B701-691C257803F0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722B80ED-5EF6-4E94-837F-6819525E3B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44600e-3e04-492e-baa1-25ec245c6f10}" enabled="0" method="" siteId="{9744600e-3e04-492e-baa1-25ec245c6f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 Semanal</vt:lpstr>
      <vt:lpstr>Asistencia</vt:lpstr>
      <vt:lpstr>Cuota</vt:lpstr>
      <vt:lpstr>Altas</vt:lpstr>
      <vt:lpstr>FieldWy</vt:lpstr>
      <vt:lpstr>Resumen dia</vt:lpstr>
      <vt:lpstr>Seg Diario</vt:lpstr>
      <vt:lpstr>Palancas</vt:lpstr>
      <vt:lpstr>Ruta Lider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VINICIO VILLEGAS ALCALA</dc:creator>
  <cp:lastModifiedBy>RAQUEL VICTORIA MENDOZA TORRES</cp:lastModifiedBy>
  <dcterms:created xsi:type="dcterms:W3CDTF">2021-12-15T16:20:11Z</dcterms:created>
  <dcterms:modified xsi:type="dcterms:W3CDTF">2026-06-02T00:25:53Z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0x010100799045C54740564FB7A0DE9B2F0C460F</vt:lpwstr>
  </property>
</Properties>
</file>